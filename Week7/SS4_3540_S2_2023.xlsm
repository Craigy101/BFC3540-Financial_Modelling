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/Desktop/Uni Sub/2023/Sem2/BFC3540 Financial Modelling/Week7/"/>
    </mc:Choice>
  </mc:AlternateContent>
  <xr:revisionPtr revIDLastSave="0" documentId="13_ncr:1_{3FE28453-39D4-0748-89F3-9C2FC3133174}" xr6:coauthVersionLast="47" xr6:coauthVersionMax="47" xr10:uidLastSave="{00000000-0000-0000-0000-000000000000}"/>
  <bookViews>
    <workbookView xWindow="3200" yWindow="-21100" windowWidth="38400" windowHeight="21100" activeTab="1" xr2:uid="{00000000-000D-0000-FFFF-FFFF00000000}"/>
  </bookViews>
  <sheets>
    <sheet name="Name" sheetId="2" r:id="rId1"/>
    <sheet name="EfficientFrontier" sheetId="1" r:id="rId2"/>
    <sheet name="other" sheetId="4" state="veryHidden" r:id="rId3"/>
  </sheets>
  <externalReferences>
    <externalReference r:id="rId4"/>
    <externalReference r:id="rId5"/>
    <externalReference r:id="rId6"/>
  </externalReferences>
  <definedNames>
    <definedName name="â" hidden="1">other!$BI$6</definedName>
    <definedName name="CustomVariablesStoredValue">#REF!</definedName>
    <definedName name="CustomVariablesValue">#REF!</definedName>
    <definedName name="df_1">EfficientFrontier!$L$41,EfficientFrontier!$J$29:$N$32,EfficientFrontier!$J$39:$P$42,EfficientFrontier!$K$51:$N$57,EfficientFrontier!$K$64:$L$65,EfficientFrontier!$K$71:$M$94</definedName>
    <definedName name="è" hidden="1">other!$DR$44</definedName>
    <definedName name="î" hidden="1">other!$CI$8</definedName>
    <definedName name="ö" hidden="1">other!$DI$14</definedName>
    <definedName name="Portfolio_Mean1">'[1]Set 1 - Task 3'!$C$19</definedName>
    <definedName name="Portfolio_Mean2">'[1]Set 2 - Task 3'!$C$19</definedName>
    <definedName name="Portfolio_Mean3">'[1]Set 3 - Task 3'!$C$19</definedName>
    <definedName name="Range1" hidden="1">other!$BJ$6</definedName>
    <definedName name="Range2" hidden="1">other!$BM$8</definedName>
    <definedName name="Range3" hidden="1">other!$CZ$14</definedName>
    <definedName name="Range4" hidden="1">other!$DN$44</definedName>
    <definedName name="Stock_Dates">[2]VarCov!$B$6:$B$15</definedName>
    <definedName name="Stock_Name">[2]VarCov!$C$5:$H$5</definedName>
    <definedName name="Stock1">'[3]Set 1 - Task 1'!$D$5</definedName>
    <definedName name="Stock1_Data">'[1]Set 1 - Task 1'!$C$6:$C$15</definedName>
    <definedName name="Stock1_Proportion">'[1]Set 1 - Task 3'!$C$14</definedName>
    <definedName name="Stock2">'[3]Set 1 - Task 1'!$E$5</definedName>
    <definedName name="Stock2_Data">'[1]Set 1 - Task 1'!$D$6:$D$15</definedName>
    <definedName name="Stock3">'[3]Set 2 - Task 1'!$D$5</definedName>
    <definedName name="Stock3_Data">'[1]Set 2 - Task 1'!$C$6:$C$15</definedName>
    <definedName name="Stock3_Proportion">'[1]Set 2 - Task 3'!$C$14</definedName>
    <definedName name="Stock4">'[3]Set 2 - Task 1'!$E$5</definedName>
    <definedName name="Stock4_Data">'[1]Set 2 - Task 1'!$D$6:$D$15</definedName>
    <definedName name="Stock5">'[3]Set 3 - Task 1'!$D$5</definedName>
    <definedName name="Stock5_Data">'[1]Set 3 - Task 1'!$C$6:$C$15</definedName>
    <definedName name="Stock5_Proportion">'[1]Set 3 - Task 3'!$C$14</definedName>
    <definedName name="Stock6">'[3]Set 3 - Task 1'!$E$5</definedName>
    <definedName name="Stock6_Data">'[1]Set 3 - Task 1'!$D$6:$D$15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5" i="1" l="1"/>
  <c r="L71" i="1"/>
  <c r="L51" i="1" a="1"/>
  <c r="L51" i="1" s="1"/>
  <c r="K64" i="1" s="1"/>
  <c r="K56" i="1"/>
  <c r="K55" i="1" a="1"/>
  <c r="K55" i="1" s="1"/>
  <c r="L53" i="1"/>
  <c r="K53" i="1"/>
  <c r="L52" i="1" a="1"/>
  <c r="L52" i="1"/>
  <c r="K52" i="1" a="1"/>
  <c r="K52" i="1" s="1"/>
  <c r="K51" i="1" a="1"/>
  <c r="K51" i="1" s="1"/>
  <c r="N40" i="1"/>
  <c r="N41" i="1"/>
  <c r="N42" i="1"/>
  <c r="N39" i="1"/>
  <c r="K40" i="1"/>
  <c r="K41" i="1"/>
  <c r="K42" i="1"/>
  <c r="K39" i="1"/>
  <c r="M39" i="1" a="1"/>
  <c r="M39" i="1" s="1"/>
  <c r="J39" i="1" a="1"/>
  <c r="J40" i="1" s="1"/>
  <c r="M30" i="1"/>
  <c r="M31" i="1"/>
  <c r="M32" i="1"/>
  <c r="M29" i="1"/>
  <c r="J30" i="1"/>
  <c r="J31" i="1"/>
  <c r="J32" i="1"/>
  <c r="J29" i="1"/>
  <c r="L15" i="1"/>
  <c r="K71" i="1" l="1"/>
  <c r="M41" i="1"/>
  <c r="M40" i="1"/>
  <c r="M42" i="1"/>
  <c r="J41" i="1"/>
  <c r="J39" i="1"/>
  <c r="J42" i="1"/>
  <c r="K13" i="1"/>
  <c r="K14" i="1"/>
  <c r="L14" i="1"/>
  <c r="K15" i="1"/>
  <c r="M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<sst xmlns="http://schemas.openxmlformats.org/spreadsheetml/2006/main" count="66" uniqueCount="48">
  <si>
    <t>Mean</t>
  </si>
  <si>
    <t>returns</t>
  </si>
  <si>
    <t>z</t>
  </si>
  <si>
    <t>x</t>
  </si>
  <si>
    <t>Constant</t>
  </si>
  <si>
    <t>y</t>
  </si>
  <si>
    <t>Cov(x,y)</t>
  </si>
  <si>
    <t>Corr(x,y)</t>
  </si>
  <si>
    <t>Proportion of x</t>
  </si>
  <si>
    <t>Sigma</t>
  </si>
  <si>
    <t>Given:</t>
  </si>
  <si>
    <t>Problem 1</t>
  </si>
  <si>
    <r>
      <t xml:space="preserve">Using two different values for </t>
    </r>
    <r>
      <rPr>
        <i/>
        <sz val="10"/>
        <rFont val="Arial"/>
        <family val="2"/>
      </rPr>
      <t xml:space="preserve">c (i.e. c=0 and c=0.065), </t>
    </r>
    <r>
      <rPr>
        <sz val="10"/>
        <rFont val="Arial"/>
        <family val="2"/>
      </rPr>
      <t>calculate the mean returns minus constant</t>
    </r>
  </si>
  <si>
    <t>Mean minus constant</t>
  </si>
  <si>
    <t>For constant = 0</t>
  </si>
  <si>
    <t>For constant = 0.065</t>
  </si>
  <si>
    <t>Problem 2</t>
  </si>
  <si>
    <r>
      <t xml:space="preserve">For each value of c, solve for </t>
    </r>
    <r>
      <rPr>
        <i/>
        <sz val="10"/>
        <rFont val="Arial"/>
        <family val="2"/>
      </rPr>
      <t>z (</t>
    </r>
    <r>
      <rPr>
        <b/>
        <i/>
        <sz val="10"/>
        <rFont val="Arial"/>
        <family val="2"/>
      </rPr>
      <t>=mmult(minverse(variance-covariance),mean-constant</t>
    </r>
    <r>
      <rPr>
        <i/>
        <sz val="10"/>
        <rFont val="Arial"/>
        <family val="2"/>
      </rPr>
      <t>)</t>
    </r>
    <r>
      <rPr>
        <sz val="10"/>
        <rFont val="Arial"/>
        <family val="2"/>
      </rPr>
      <t xml:space="preserve"> </t>
    </r>
  </si>
  <si>
    <t xml:space="preserve">and x,y (associated value of z divided by the sum of all the z's) </t>
  </si>
  <si>
    <t>Note: x and y are two efficient portfolios</t>
  </si>
  <si>
    <t>Problem 3</t>
  </si>
  <si>
    <t>Variance</t>
  </si>
  <si>
    <t>Compute the means, variance, standard deviation (or sigma), covariance of returns</t>
  </si>
  <si>
    <t>and correlation coefficient of returns for the portfolios x and y.</t>
  </si>
  <si>
    <t>Derive the Efficient Frontier from the combinations of the two portfolios, x and y calculated above.</t>
  </si>
  <si>
    <r>
      <t>E(r</t>
    </r>
    <r>
      <rPr>
        <i/>
        <vertAlign val="subscript"/>
        <sz val="10"/>
        <rFont val="Arial"/>
        <family val="2"/>
      </rPr>
      <t>p</t>
    </r>
    <r>
      <rPr>
        <i/>
        <sz val="10"/>
        <rFont val="Arial"/>
        <family val="2"/>
      </rPr>
      <t>)</t>
    </r>
  </si>
  <si>
    <r>
      <t>s</t>
    </r>
    <r>
      <rPr>
        <vertAlign val="subscript"/>
        <sz val="10"/>
        <rFont val="Arial"/>
        <family val="2"/>
      </rPr>
      <t>p</t>
    </r>
  </si>
  <si>
    <t>Step 1</t>
  </si>
  <si>
    <t>Calculate the portfolio's mean returns and standard deviation:</t>
  </si>
  <si>
    <t>Step 2</t>
  </si>
  <si>
    <t>Create a data table with varying proportion of portfolio x (-0.4 to 1.6 increment of 0.1)</t>
  </si>
  <si>
    <t>Step 3</t>
  </si>
  <si>
    <t>Graph the efficient frontier based on the data table created from previous step.</t>
  </si>
  <si>
    <t>Find two efficient portfolios.</t>
  </si>
  <si>
    <t>XXX</t>
  </si>
  <si>
    <t>YYY</t>
  </si>
  <si>
    <t>ZZZ</t>
  </si>
  <si>
    <t>WWW</t>
  </si>
  <si>
    <t>Variance-Covariance Matrix</t>
  </si>
  <si>
    <t>Risk free rate:</t>
  </si>
  <si>
    <t>Name:</t>
  </si>
  <si>
    <t>The Capital Market Line (the efficient frontier)</t>
  </si>
  <si>
    <t>Authcate:</t>
  </si>
  <si>
    <t>File:</t>
  </si>
  <si>
    <t>SS4</t>
  </si>
  <si>
    <t>QL7VK9PcHH2lIixEsDw1WIF8TQrHkrn14MmnzA4dwIg3xkMWXVbJBJu98RWZPtB2jOQpNSjvKaL5b20YCXGLqLYRnjBb4vq4Og5r2UOxzc06G4fqrpvMUdDTSlptjDVM3hk9hm3zuBffBMb8W7avQv91N3U</t>
  </si>
  <si>
    <t>Grant Fullston</t>
  </si>
  <si>
    <t>gful0002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</si>
</sst>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0" fontId="1" fillId="0" borderId="0"/>
    <xf numFmtId="0" fontId="1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</cellStyleXfs>
  <cellXfs count="63">
    <xf numFmtId="0" fontId="0" fillId="0" borderId="0" xfId="0"/>
    <xf numFmtId="0" fontId="3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/>
    <xf numFmtId="164" fontId="0" fillId="0" borderId="0" xfId="2" applyNumberFormat="1" applyFont="1"/>
    <xf numFmtId="0" fontId="6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 applyAlignment="1">
      <alignment horizontal="center" wrapText="1"/>
    </xf>
    <xf numFmtId="2" fontId="4" fillId="0" borderId="8" xfId="0" applyNumberFormat="1" applyFont="1" applyBorder="1" applyAlignment="1">
      <alignment horizontal="left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11" xfId="0" applyNumberForma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2" fontId="0" fillId="0" borderId="12" xfId="0" applyNumberFormat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3" xfId="0" applyBorder="1"/>
    <xf numFmtId="164" fontId="0" fillId="0" borderId="0" xfId="0" applyNumberFormat="1" applyAlignment="1">
      <alignment horizontal="center"/>
    </xf>
    <xf numFmtId="0" fontId="4" fillId="0" borderId="4" xfId="0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8" fillId="0" borderId="0" xfId="0" applyFont="1"/>
    <xf numFmtId="164" fontId="8" fillId="0" borderId="0" xfId="0" applyNumberFormat="1" applyFont="1" applyAlignment="1">
      <alignment horizontal="center"/>
    </xf>
    <xf numFmtId="165" fontId="0" fillId="0" borderId="0" xfId="0" applyNumberFormat="1"/>
    <xf numFmtId="164" fontId="0" fillId="0" borderId="0" xfId="2" applyNumberFormat="1" applyFont="1" applyBorder="1"/>
    <xf numFmtId="0" fontId="4" fillId="0" borderId="2" xfId="0" applyFont="1" applyBorder="1"/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centerContinuous"/>
    </xf>
    <xf numFmtId="0" fontId="4" fillId="0" borderId="4" xfId="0" applyFont="1" applyBorder="1" applyAlignment="1">
      <alignment horizontal="centerContinuous"/>
    </xf>
    <xf numFmtId="0" fontId="4" fillId="0" borderId="14" xfId="0" applyFont="1" applyBorder="1" applyAlignment="1">
      <alignment horizontal="center"/>
    </xf>
    <xf numFmtId="164" fontId="0" fillId="0" borderId="0" xfId="0" applyNumberFormat="1" applyAlignment="1">
      <alignment horizontal="center" wrapText="1"/>
    </xf>
    <xf numFmtId="0" fontId="0" fillId="0" borderId="0" xfId="0" applyProtection="1"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wrapText="1"/>
      <protection locked="0"/>
    </xf>
    <xf numFmtId="164" fontId="8" fillId="3" borderId="0" xfId="0" applyNumberFormat="1" applyFont="1" applyFill="1" applyAlignment="1" applyProtection="1">
      <alignment horizontal="center"/>
      <protection locked="0"/>
    </xf>
    <xf numFmtId="164" fontId="7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1" xfId="0" applyFont="1" applyBorder="1"/>
    <xf numFmtId="164" fontId="8" fillId="0" borderId="0" xfId="0" applyNumberFormat="1" applyFont="1" applyAlignment="1" applyProtection="1">
      <alignment horizontal="center"/>
      <protection locked="0"/>
    </xf>
    <xf numFmtId="164" fontId="7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2" fontId="8" fillId="0" borderId="0" xfId="0" applyNumberFormat="1" applyFont="1" applyProtection="1">
      <protection locked="0"/>
    </xf>
    <xf numFmtId="0" fontId="2" fillId="2" borderId="0" xfId="0" applyFont="1" applyFill="1"/>
    <xf numFmtId="0" fontId="2" fillId="0" borderId="0" xfId="0" applyFont="1"/>
    <xf numFmtId="0" fontId="8" fillId="2" borderId="0" xfId="0" applyFont="1" applyFill="1"/>
    <xf numFmtId="0" fontId="5" fillId="2" borderId="0" xfId="1" applyFill="1" applyAlignment="1" applyProtection="1"/>
    <xf numFmtId="0" fontId="4" fillId="0" borderId="0" xfId="0" applyFont="1" applyAlignment="1">
      <alignment horizontal="center"/>
    </xf>
    <xf numFmtId="22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3" xr:uid="{00000000-0005-0000-0000-000003000000}"/>
    <cellStyle name="Per cent" xfId="2" builtinId="5"/>
    <cellStyle name="Percent 2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eetMetadata" Target="metadata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86351706036745"/>
          <c:y val="7.4548702245552642E-2"/>
          <c:w val="0.65174190726159453"/>
          <c:h val="0.798225065616797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EfficientFrontier!$K$72:$K$92</c:f>
              <c:numCache>
                <c:formatCode>0.0000</c:formatCode>
                <c:ptCount val="21"/>
                <c:pt idx="0">
                  <c:v>0.77777228510213126</c:v>
                </c:pt>
                <c:pt idx="1">
                  <c:v>0.72738292895125012</c:v>
                </c:pt>
                <c:pt idx="2">
                  <c:v>0.6772492444214292</c:v>
                </c:pt>
                <c:pt idx="3">
                  <c:v>0.62743252122605409</c:v>
                </c:pt>
                <c:pt idx="4">
                  <c:v>0.57801471797676363</c:v>
                </c:pt>
                <c:pt idx="5">
                  <c:v>0.52910762193189143</c:v>
                </c:pt>
                <c:pt idx="6">
                  <c:v>0.48086708439866599</c:v>
                </c:pt>
                <c:pt idx="7">
                  <c:v>0.43351568139193647</c:v>
                </c:pt>
                <c:pt idx="8">
                  <c:v>0.3873796007152997</c:v>
                </c:pt>
                <c:pt idx="9">
                  <c:v>0.34294967556620304</c:v>
                </c:pt>
                <c:pt idx="10">
                  <c:v>0.30098242602280217</c:v>
                </c:pt>
                <c:pt idx="11">
                  <c:v>0.26266095534199224</c:v>
                </c:pt>
                <c:pt idx="12">
                  <c:v>0.22981633978190785</c:v>
                </c:pt>
                <c:pt idx="13">
                  <c:v>0.20509690022847105</c:v>
                </c:pt>
                <c:pt idx="14">
                  <c:v>0.19167248842463094</c:v>
                </c:pt>
                <c:pt idx="15">
                  <c:v>0.19192801524905623</c:v>
                </c:pt>
                <c:pt idx="16">
                  <c:v>0.2058125339695871</c:v>
                </c:pt>
                <c:pt idx="17">
                  <c:v>0.2308801661544615</c:v>
                </c:pt>
                <c:pt idx="18">
                  <c:v>0.26396385925165927</c:v>
                </c:pt>
                <c:pt idx="19">
                  <c:v>0.3024443795833156</c:v>
                </c:pt>
                <c:pt idx="20">
                  <c:v>0.34451807263920492</c:v>
                </c:pt>
              </c:numCache>
            </c:numRef>
          </c:xVal>
          <c:yVal>
            <c:numRef>
              <c:f>EfficientFrontier!$L$72:$L$92</c:f>
              <c:numCache>
                <c:formatCode>0.0000</c:formatCode>
                <c:ptCount val="21"/>
                <c:pt idx="0">
                  <c:v>0.10384990682117509</c:v>
                </c:pt>
                <c:pt idx="1">
                  <c:v>0.10138356680205779</c:v>
                </c:pt>
                <c:pt idx="2">
                  <c:v>9.8917226782940501E-2</c:v>
                </c:pt>
                <c:pt idx="3">
                  <c:v>9.6450886763823213E-2</c:v>
                </c:pt>
                <c:pt idx="4">
                  <c:v>9.398454674470591E-2</c:v>
                </c:pt>
                <c:pt idx="5">
                  <c:v>9.1518206725588608E-2</c:v>
                </c:pt>
                <c:pt idx="6">
                  <c:v>8.9051866706471319E-2</c:v>
                </c:pt>
                <c:pt idx="7">
                  <c:v>8.6585526687354031E-2</c:v>
                </c:pt>
                <c:pt idx="8">
                  <c:v>8.4119186668236728E-2</c:v>
                </c:pt>
                <c:pt idx="9">
                  <c:v>8.1652846649119426E-2</c:v>
                </c:pt>
                <c:pt idx="10">
                  <c:v>7.9186506630002138E-2</c:v>
                </c:pt>
                <c:pt idx="11">
                  <c:v>7.6720166610884849E-2</c:v>
                </c:pt>
                <c:pt idx="12">
                  <c:v>7.4253826591767547E-2</c:v>
                </c:pt>
                <c:pt idx="13">
                  <c:v>7.1787486572650244E-2</c:v>
                </c:pt>
                <c:pt idx="14">
                  <c:v>6.9321146553532956E-2</c:v>
                </c:pt>
                <c:pt idx="15">
                  <c:v>6.6854806534415653E-2</c:v>
                </c:pt>
                <c:pt idx="16">
                  <c:v>6.4388466515298365E-2</c:v>
                </c:pt>
                <c:pt idx="17">
                  <c:v>6.1922126496181076E-2</c:v>
                </c:pt>
                <c:pt idx="18">
                  <c:v>5.9455786477063781E-2</c:v>
                </c:pt>
                <c:pt idx="19">
                  <c:v>5.6989446457946485E-2</c:v>
                </c:pt>
                <c:pt idx="20">
                  <c:v>5.4523106438829176E-2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9E-40DF-8112-E01936766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25888"/>
        <c:axId val="100727424"/>
      </c:scatterChart>
      <c:valAx>
        <c:axId val="100725888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727424"/>
        <c:crosses val="autoZero"/>
        <c:crossBetween val="midCat"/>
      </c:valAx>
      <c:valAx>
        <c:axId val="100727424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725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676275</xdr:colOff>
      <xdr:row>95</xdr:row>
      <xdr:rowOff>142875</xdr:rowOff>
    </xdr:from>
    <xdr:to>
      <xdr:col>17</xdr:col>
      <xdr:colOff>514350</xdr:colOff>
      <xdr:row>116</xdr:row>
      <xdr:rowOff>114300</xdr:rowOff>
    </xdr:to>
    <xdr:graphicFrame macro="">
      <xdr:nvGraphicFramePr>
        <xdr:cNvPr id="2059" name="Chart 1">
          <a:extLst>
            <a:ext uri="{FF2B5EF4-FFF2-40B4-BE49-F238E27FC236}">
              <a16:creationId xmlns:a16="http://schemas.microsoft.com/office/drawing/2014/main" id="{00000000-0008-0000-0100-00000B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Google%20Drive/People/Paul%20Lajbcygier/BFC3540%20Master%20Slave/Input_UG/W1SS_Sl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Google%20Drive/People/Paul%20Lajbcygier/BFC3540%20Master%20Slave/Input_UG/W3SS_Slav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/Google%20Drive/People/Paul%20Lajbcygier/BFC3540%20Master%20Slave/Input_UG/W2SS_Sla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Set 1 - Task 2"/>
      <sheetName val="Set 2 - Task 2"/>
      <sheetName val="Set 3 - Task 2"/>
      <sheetName val="Set 1 - Task 3"/>
      <sheetName val="Set 2 - Task 3"/>
      <sheetName val="Set 3 - Task 3"/>
      <sheetName val="Set 1 - Task 4"/>
      <sheetName val="Set 2 - Task 4"/>
      <sheetName val="Set 3 - Task 4"/>
      <sheetName val="Task 5"/>
      <sheetName val="CustomVariables"/>
    </sheetNames>
    <sheetDataSet>
      <sheetData sheetId="0"/>
      <sheetData sheetId="1">
        <row r="5">
          <cell r="C5" t="str">
            <v>PLS</v>
          </cell>
        </row>
        <row r="6">
          <cell r="C6">
            <v>0.21205871888971681</v>
          </cell>
          <cell r="D6">
            <v>1.8182319083190547E-2</v>
          </cell>
        </row>
        <row r="7">
          <cell r="C7">
            <v>2.5158559636154931E-2</v>
          </cell>
          <cell r="D7">
            <v>-3.0490166757787276E-2</v>
          </cell>
        </row>
        <row r="8">
          <cell r="C8">
            <v>-7.0769070888207261E-2</v>
          </cell>
          <cell r="D8">
            <v>-1.2461220437812002E-2</v>
          </cell>
        </row>
        <row r="9">
          <cell r="C9">
            <v>3.9220713153281329E-2</v>
          </cell>
          <cell r="D9">
            <v>8.1247672272879781E-2</v>
          </cell>
        </row>
        <row r="10">
          <cell r="C10">
            <v>8.0042707673536356E-2</v>
          </cell>
          <cell r="D10">
            <v>4.2439183275156722E-2</v>
          </cell>
        </row>
        <row r="11">
          <cell r="C11">
            <v>0.1931112642153347</v>
          </cell>
          <cell r="D11">
            <v>-7.1766798369676685E-2</v>
          </cell>
        </row>
        <row r="12">
          <cell r="C12">
            <v>-0.10265415406008321</v>
          </cell>
          <cell r="D12">
            <v>-1.8018505502678365E-2</v>
          </cell>
        </row>
        <row r="13">
          <cell r="C13">
            <v>5.2643733485421881E-2</v>
          </cell>
          <cell r="D13">
            <v>3.5718082602079246E-2</v>
          </cell>
        </row>
        <row r="14">
          <cell r="C14">
            <v>5.4876610225834302E-2</v>
          </cell>
          <cell r="D14">
            <v>-6.3369613932589261E-2</v>
          </cell>
        </row>
        <row r="15">
          <cell r="C15">
            <v>-8.0852096629095024E-2</v>
          </cell>
          <cell r="D15">
            <v>3.1104224143925518E-3</v>
          </cell>
        </row>
      </sheetData>
      <sheetData sheetId="2">
        <row r="5">
          <cell r="C5" t="str">
            <v>AMP</v>
          </cell>
        </row>
        <row r="6">
          <cell r="C6">
            <v>-8.3160562416575053E-3</v>
          </cell>
          <cell r="D6">
            <v>-1.4750809758148253E-2</v>
          </cell>
        </row>
        <row r="7">
          <cell r="C7">
            <v>5.0875670660453405E-2</v>
          </cell>
          <cell r="D7">
            <v>1.8190194060057709E-2</v>
          </cell>
        </row>
        <row r="8">
          <cell r="C8">
            <v>7.9051795071132473E-3</v>
          </cell>
          <cell r="D8">
            <v>2.2072203355499215E-2</v>
          </cell>
        </row>
        <row r="9">
          <cell r="C9">
            <v>-2.390552085355448E-2</v>
          </cell>
          <cell r="D9">
            <v>8.3612527246834031E-3</v>
          </cell>
        </row>
        <row r="10">
          <cell r="C10">
            <v>1.798250255043227E-2</v>
          </cell>
          <cell r="D10">
            <v>-7.6994347269455921E-2</v>
          </cell>
        </row>
        <row r="11">
          <cell r="C11">
            <v>2.3484445233069327E-2</v>
          </cell>
          <cell r="D11">
            <v>-1.8001805041478545E-3</v>
          </cell>
        </row>
        <row r="12">
          <cell r="C12">
            <v>-7.7670293376596589E-3</v>
          </cell>
          <cell r="D12">
            <v>-9.0130695601277572E-4</v>
          </cell>
        </row>
        <row r="13">
          <cell r="C13">
            <v>0</v>
          </cell>
          <cell r="D13">
            <v>1.6100526689409138E-2</v>
          </cell>
        </row>
        <row r="14">
          <cell r="C14">
            <v>5.8309203107931437E-3</v>
          </cell>
          <cell r="D14">
            <v>5.1027065517894481E-2</v>
          </cell>
        </row>
        <row r="15">
          <cell r="C15">
            <v>1.347469858336019E-2</v>
          </cell>
          <cell r="D15">
            <v>-3.1694301708914976E-2</v>
          </cell>
        </row>
      </sheetData>
      <sheetData sheetId="3">
        <row r="5">
          <cell r="C5" t="str">
            <v>LLC</v>
          </cell>
        </row>
        <row r="6">
          <cell r="C6">
            <v>2.1529896524668985E-2</v>
          </cell>
          <cell r="D6">
            <v>-1.0230268250814922E-2</v>
          </cell>
        </row>
        <row r="7">
          <cell r="C7">
            <v>1.1403925146579941E-2</v>
          </cell>
          <cell r="D7">
            <v>1.2771565679487539E-2</v>
          </cell>
        </row>
        <row r="8">
          <cell r="C8">
            <v>-0.10045297094695781</v>
          </cell>
          <cell r="D8">
            <v>2.2585652648749288E-2</v>
          </cell>
        </row>
        <row r="9">
          <cell r="C9">
            <v>-4.1878613404747406E-3</v>
          </cell>
          <cell r="D9">
            <v>0</v>
          </cell>
        </row>
        <row r="10">
          <cell r="C10">
            <v>-1.8149379555740097E-2</v>
          </cell>
          <cell r="D10">
            <v>0</v>
          </cell>
        </row>
        <row r="11">
          <cell r="C11">
            <v>1.2136132332288337E-2</v>
          </cell>
          <cell r="D11">
            <v>3.8934357975454685E-2</v>
          </cell>
        </row>
        <row r="12">
          <cell r="C12">
            <v>-2.0719814973616985E-2</v>
          </cell>
          <cell r="D12">
            <v>-1.4423326961105052E-2</v>
          </cell>
        </row>
        <row r="13">
          <cell r="C13">
            <v>-1.176854746280483E-2</v>
          </cell>
          <cell r="D13">
            <v>1.4423326961105125E-2</v>
          </cell>
        </row>
        <row r="14">
          <cell r="C14">
            <v>-6.8771139086579759E-3</v>
          </cell>
          <cell r="D14">
            <v>9.5012591241402152E-3</v>
          </cell>
        </row>
        <row r="15">
          <cell r="C15">
            <v>9.9875986283484118E-3</v>
          </cell>
          <cell r="D15">
            <v>-2.3668650102662793E-3</v>
          </cell>
        </row>
      </sheetData>
      <sheetData sheetId="4"/>
      <sheetData sheetId="5"/>
      <sheetData sheetId="6"/>
      <sheetData sheetId="7">
        <row r="14">
          <cell r="C14">
            <v>0.5</v>
          </cell>
        </row>
        <row r="19">
          <cell r="C19">
            <v>0</v>
          </cell>
        </row>
      </sheetData>
      <sheetData sheetId="8">
        <row r="14">
          <cell r="C14">
            <v>0.5</v>
          </cell>
        </row>
        <row r="19">
          <cell r="C19">
            <v>0</v>
          </cell>
        </row>
      </sheetData>
      <sheetData sheetId="9">
        <row r="14">
          <cell r="C14">
            <v>0.5</v>
          </cell>
        </row>
        <row r="19">
          <cell r="C19">
            <v>0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VarCov"/>
      <sheetName val="CustomVariables"/>
    </sheetNames>
    <sheetDataSet>
      <sheetData sheetId="0"/>
      <sheetData sheetId="1">
        <row r="5">
          <cell r="C5" t="str">
            <v>PLS</v>
          </cell>
          <cell r="D5" t="str">
            <v>S32</v>
          </cell>
          <cell r="E5" t="str">
            <v>AMP</v>
          </cell>
          <cell r="F5" t="str">
            <v>BEN</v>
          </cell>
          <cell r="G5" t="str">
            <v>LLC</v>
          </cell>
          <cell r="H5" t="str">
            <v>SCG</v>
          </cell>
        </row>
        <row r="6">
          <cell r="B6">
            <v>43009</v>
          </cell>
        </row>
        <row r="7">
          <cell r="B7">
            <v>43016</v>
          </cell>
        </row>
        <row r="8">
          <cell r="B8">
            <v>43023</v>
          </cell>
        </row>
        <row r="9">
          <cell r="B9">
            <v>43030</v>
          </cell>
        </row>
        <row r="10">
          <cell r="B10">
            <v>43037</v>
          </cell>
        </row>
        <row r="11">
          <cell r="B11">
            <v>43044</v>
          </cell>
        </row>
        <row r="12">
          <cell r="B12">
            <v>43051</v>
          </cell>
        </row>
        <row r="13">
          <cell r="B13">
            <v>43058</v>
          </cell>
        </row>
        <row r="14">
          <cell r="B14">
            <v>43065</v>
          </cell>
        </row>
        <row r="15">
          <cell r="B15">
            <v>43072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Four-Asset Portfolio"/>
      <sheetName val="CustomVariables"/>
    </sheetNames>
    <sheetDataSet>
      <sheetData sheetId="0" refreshError="1"/>
      <sheetData sheetId="1">
        <row r="5">
          <cell r="D5" t="str">
            <v>PLS</v>
          </cell>
          <cell r="E5" t="str">
            <v>S32</v>
          </cell>
        </row>
      </sheetData>
      <sheetData sheetId="2">
        <row r="5">
          <cell r="D5" t="str">
            <v>AMP</v>
          </cell>
          <cell r="E5" t="str">
            <v>BEN</v>
          </cell>
        </row>
      </sheetData>
      <sheetData sheetId="3">
        <row r="5">
          <cell r="D5" t="str">
            <v>LLC</v>
          </cell>
          <cell r="E5" t="str">
            <v>SCG</v>
          </cell>
        </row>
      </sheetData>
      <sheetData sheetId="4" refreshError="1"/>
      <sheetData sheetId="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"/>
  <sheetViews>
    <sheetView topLeftCell="B1" zoomScale="112" zoomScaleNormal="50" workbookViewId="0">
      <selection activeCell="G44" sqref="G44"/>
    </sheetView>
  </sheetViews>
  <sheetFormatPr baseColWidth="10" defaultColWidth="8.83203125" defaultRowHeight="13" x14ac:dyDescent="0.15"/>
  <cols>
    <col min="1" max="1" width="10.33203125" customWidth="1"/>
    <col min="2" max="2" width="27.5" customWidth="1"/>
  </cols>
  <sheetData>
    <row r="1" spans="1:2" x14ac:dyDescent="0.15">
      <c r="A1" s="57" t="s">
        <v>40</v>
      </c>
      <c r="B1" s="59" t="s">
        <v>46</v>
      </c>
    </row>
    <row r="2" spans="1:2" x14ac:dyDescent="0.15">
      <c r="A2" s="57" t="s">
        <v>42</v>
      </c>
      <c r="B2" s="60" t="s">
        <v>47</v>
      </c>
    </row>
    <row r="3" spans="1:2" x14ac:dyDescent="0.15">
      <c r="A3" s="58" t="s">
        <v>43</v>
      </c>
      <c r="B3" s="58" t="s">
        <v>44</v>
      </c>
    </row>
  </sheetData>
  <sheetProtection algorithmName="SHA-512" hashValue="uVzHZ5nCQlYw84iEhsHd6wTkMxvYnVRrXtbzeZjzlO1MUi07wac9dPz8KR+7AZ8wY2oTH4qdqSp1ilUtKKcfjA==" saltValue="TCDim4S9HtE5YQGan2YEOg==" spinCount="100000"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I6:S161"/>
  <sheetViews>
    <sheetView tabSelected="1" topLeftCell="D47" zoomScale="166" zoomScaleNormal="50" workbookViewId="0">
      <selection activeCell="L27" sqref="L27"/>
    </sheetView>
  </sheetViews>
  <sheetFormatPr baseColWidth="10" defaultColWidth="8.83203125" defaultRowHeight="13" x14ac:dyDescent="0.15"/>
  <cols>
    <col min="9" max="9" width="10.33203125" bestFit="1" customWidth="1"/>
    <col min="10" max="10" width="13" customWidth="1"/>
    <col min="11" max="11" width="10.6640625" customWidth="1"/>
    <col min="12" max="13" width="10.6640625" bestFit="1" customWidth="1"/>
    <col min="16" max="16" width="9.1640625" bestFit="1" customWidth="1"/>
  </cols>
  <sheetData>
    <row r="6" spans="10:18" ht="18" x14ac:dyDescent="0.2">
      <c r="J6" s="8" t="s">
        <v>41</v>
      </c>
    </row>
    <row r="7" spans="10:18" ht="19" thickBot="1" x14ac:dyDescent="0.25">
      <c r="J7" s="8"/>
    </row>
    <row r="8" spans="10:18" x14ac:dyDescent="0.15">
      <c r="J8" s="50" t="s">
        <v>10</v>
      </c>
      <c r="K8" s="38"/>
      <c r="L8" s="9"/>
      <c r="M8" s="9"/>
      <c r="N8" s="9"/>
      <c r="O8" s="9"/>
      <c r="P8" s="10"/>
      <c r="R8" s="1"/>
    </row>
    <row r="9" spans="10:18" x14ac:dyDescent="0.15">
      <c r="J9" s="41" t="s">
        <v>38</v>
      </c>
      <c r="K9" s="40"/>
      <c r="L9" s="40"/>
      <c r="M9" s="40"/>
      <c r="N9" s="40"/>
      <c r="P9" s="12"/>
      <c r="R9" s="1"/>
    </row>
    <row r="10" spans="10:18" x14ac:dyDescent="0.15">
      <c r="J10" s="11"/>
      <c r="K10" s="39"/>
      <c r="P10" s="13" t="s">
        <v>0</v>
      </c>
      <c r="Q10" s="1"/>
    </row>
    <row r="11" spans="10:18" x14ac:dyDescent="0.15">
      <c r="J11" s="11"/>
      <c r="K11" s="4" t="s">
        <v>37</v>
      </c>
      <c r="L11" s="4" t="s">
        <v>34</v>
      </c>
      <c r="M11" s="4" t="s">
        <v>35</v>
      </c>
      <c r="N11" s="4" t="s">
        <v>36</v>
      </c>
      <c r="P11" s="13" t="s">
        <v>1</v>
      </c>
      <c r="Q11" s="1"/>
    </row>
    <row r="12" spans="10:18" x14ac:dyDescent="0.15">
      <c r="J12" s="30" t="s">
        <v>37</v>
      </c>
      <c r="K12" s="2">
        <v>0.4</v>
      </c>
      <c r="L12" s="2">
        <v>0.03</v>
      </c>
      <c r="M12" s="2">
        <v>0.02</v>
      </c>
      <c r="N12" s="2">
        <v>0</v>
      </c>
      <c r="O12" s="3"/>
      <c r="P12" s="14">
        <v>0.06</v>
      </c>
      <c r="Q12" s="3"/>
      <c r="R12" s="44"/>
    </row>
    <row r="13" spans="10:18" x14ac:dyDescent="0.15">
      <c r="J13" s="30" t="s">
        <v>34</v>
      </c>
      <c r="K13" s="2">
        <f>L12</f>
        <v>0.03</v>
      </c>
      <c r="L13" s="2">
        <v>0.2</v>
      </c>
      <c r="M13" s="2">
        <v>1E-3</v>
      </c>
      <c r="N13" s="2">
        <v>-0.06</v>
      </c>
      <c r="O13" s="3"/>
      <c r="P13" s="14">
        <v>0.05</v>
      </c>
      <c r="Q13" s="3"/>
      <c r="R13" s="3"/>
    </row>
    <row r="14" spans="10:18" x14ac:dyDescent="0.15">
      <c r="J14" s="30" t="s">
        <v>35</v>
      </c>
      <c r="K14" s="2">
        <f>M12</f>
        <v>0.02</v>
      </c>
      <c r="L14" s="2">
        <f>M13</f>
        <v>1E-3</v>
      </c>
      <c r="M14" s="2">
        <v>0.3</v>
      </c>
      <c r="N14" s="2">
        <v>0.03</v>
      </c>
      <c r="O14" s="3"/>
      <c r="P14" s="14">
        <v>7.0000000000000007E-2</v>
      </c>
      <c r="Q14" s="3"/>
      <c r="R14" s="3"/>
    </row>
    <row r="15" spans="10:18" ht="14" thickBot="1" x14ac:dyDescent="0.2">
      <c r="J15" s="42" t="s">
        <v>36</v>
      </c>
      <c r="K15" s="15">
        <f>N12</f>
        <v>0</v>
      </c>
      <c r="L15" s="15">
        <f>N13</f>
        <v>-0.06</v>
      </c>
      <c r="M15" s="15">
        <f>N14</f>
        <v>0.03</v>
      </c>
      <c r="N15" s="15">
        <v>0.1</v>
      </c>
      <c r="O15" s="16"/>
      <c r="P15" s="17">
        <v>0.08</v>
      </c>
      <c r="Q15" s="3"/>
      <c r="R15" s="3"/>
    </row>
    <row r="16" spans="10:18" x14ac:dyDescent="0.15">
      <c r="J16" s="4"/>
      <c r="K16" s="2"/>
      <c r="L16" s="2"/>
      <c r="M16" s="2"/>
      <c r="N16" s="2"/>
      <c r="O16" s="3"/>
      <c r="P16" s="3"/>
      <c r="Q16" s="3"/>
      <c r="R16" s="3"/>
    </row>
    <row r="17" spans="9:18" ht="14" thickBot="1" x14ac:dyDescent="0.2">
      <c r="J17" s="2"/>
      <c r="K17" s="2"/>
      <c r="L17" s="2"/>
      <c r="M17" s="2"/>
      <c r="N17" s="3"/>
      <c r="O17" s="3"/>
      <c r="P17" s="3"/>
      <c r="Q17" s="3"/>
      <c r="R17" s="3"/>
    </row>
    <row r="18" spans="9:18" ht="14" thickTop="1" x14ac:dyDescent="0.15">
      <c r="J18" s="20" t="s">
        <v>39</v>
      </c>
      <c r="K18" s="21"/>
      <c r="L18" s="21"/>
      <c r="M18" s="21"/>
      <c r="N18" s="22"/>
      <c r="O18" s="23"/>
      <c r="P18" s="3"/>
      <c r="Q18" s="3"/>
      <c r="R18" s="3"/>
    </row>
    <row r="19" spans="9:18" ht="14" thickBot="1" x14ac:dyDescent="0.2">
      <c r="J19" s="24" t="s">
        <v>4</v>
      </c>
      <c r="K19" s="25">
        <v>0</v>
      </c>
      <c r="L19" s="25"/>
      <c r="M19" s="26" t="s">
        <v>4</v>
      </c>
      <c r="N19" s="27">
        <v>6.5000000000000002E-2</v>
      </c>
      <c r="O19" s="28"/>
      <c r="P19" s="3"/>
      <c r="Q19" s="3"/>
      <c r="R19" s="3"/>
    </row>
    <row r="20" spans="9:18" ht="14" thickTop="1" x14ac:dyDescent="0.15">
      <c r="J20" s="18"/>
      <c r="K20" s="2"/>
      <c r="L20" s="2"/>
      <c r="M20" s="18"/>
      <c r="N20" s="3"/>
      <c r="P20" s="3"/>
      <c r="Q20" s="3"/>
      <c r="R20" s="3"/>
    </row>
    <row r="21" spans="9:18" x14ac:dyDescent="0.15">
      <c r="J21" s="18"/>
      <c r="K21" s="2"/>
      <c r="L21" s="2"/>
      <c r="M21" s="18"/>
      <c r="N21" s="3"/>
      <c r="P21" s="3"/>
      <c r="Q21" s="3"/>
      <c r="R21" s="3"/>
    </row>
    <row r="22" spans="9:18" x14ac:dyDescent="0.15">
      <c r="I22" s="6" t="s">
        <v>11</v>
      </c>
      <c r="J22" s="18" t="s">
        <v>33</v>
      </c>
      <c r="K22" s="2"/>
      <c r="L22" s="2"/>
      <c r="M22" s="18"/>
      <c r="N22" s="3"/>
      <c r="P22" s="3"/>
      <c r="Q22" s="3"/>
      <c r="R22" s="3"/>
    </row>
    <row r="23" spans="9:18" x14ac:dyDescent="0.15">
      <c r="J23" s="2"/>
      <c r="K23" s="2"/>
      <c r="L23" s="2"/>
      <c r="M23" s="2"/>
      <c r="N23" s="3"/>
      <c r="O23" s="3"/>
      <c r="P23" s="3"/>
      <c r="Q23" s="3"/>
      <c r="R23" s="3"/>
    </row>
    <row r="24" spans="9:18" x14ac:dyDescent="0.15">
      <c r="I24" s="34" t="s">
        <v>27</v>
      </c>
      <c r="J24" s="18" t="s">
        <v>12</v>
      </c>
      <c r="K24" s="2"/>
      <c r="L24" s="2"/>
      <c r="M24" s="2"/>
      <c r="N24" s="3"/>
      <c r="O24" s="3"/>
      <c r="P24" s="3"/>
      <c r="Q24" s="3"/>
      <c r="R24" s="3"/>
    </row>
    <row r="25" spans="9:18" x14ac:dyDescent="0.15">
      <c r="L25" s="2"/>
      <c r="M25" s="2"/>
      <c r="N25" s="3"/>
      <c r="O25" s="3"/>
      <c r="P25" s="3"/>
      <c r="Q25" s="3"/>
      <c r="R25" s="3"/>
    </row>
    <row r="26" spans="9:18" x14ac:dyDescent="0.15">
      <c r="J26" s="18" t="s">
        <v>14</v>
      </c>
      <c r="K26" s="2"/>
      <c r="L26" s="2"/>
      <c r="M26" s="18" t="s">
        <v>15</v>
      </c>
      <c r="N26" s="3"/>
      <c r="O26" s="3"/>
      <c r="P26" s="4"/>
      <c r="Q26" s="3"/>
      <c r="R26" s="3"/>
    </row>
    <row r="27" spans="9:18" x14ac:dyDescent="0.15">
      <c r="L27" s="2"/>
      <c r="M27" s="2"/>
      <c r="N27" s="18"/>
      <c r="O27" s="3"/>
      <c r="P27" s="3"/>
      <c r="Q27" s="3"/>
    </row>
    <row r="28" spans="9:18" ht="28" x14ac:dyDescent="0.15">
      <c r="J28" s="19" t="s">
        <v>13</v>
      </c>
      <c r="K28" s="2"/>
      <c r="L28" s="2"/>
      <c r="M28" s="19" t="s">
        <v>13</v>
      </c>
      <c r="O28" s="3"/>
      <c r="P28" s="3"/>
      <c r="Q28" s="19"/>
      <c r="R28" s="19"/>
    </row>
    <row r="29" spans="9:18" x14ac:dyDescent="0.15">
      <c r="J29" s="45">
        <f>P12-0</f>
        <v>0.06</v>
      </c>
      <c r="K29" s="2"/>
      <c r="L29" s="2"/>
      <c r="M29" s="45">
        <f>P12-0.065</f>
        <v>-5.0000000000000044E-3</v>
      </c>
      <c r="N29" s="19"/>
      <c r="O29" s="3"/>
      <c r="P29" s="3"/>
      <c r="Q29" s="29"/>
      <c r="R29" s="29"/>
    </row>
    <row r="30" spans="9:18" x14ac:dyDescent="0.15">
      <c r="J30" s="45">
        <f t="shared" ref="J30:J32" si="0">P13-0</f>
        <v>0.05</v>
      </c>
      <c r="K30" s="2"/>
      <c r="L30" s="2"/>
      <c r="M30" s="45">
        <f t="shared" ref="M30:M32" si="1">P13-0.065</f>
        <v>-1.4999999999999999E-2</v>
      </c>
      <c r="N30" s="19"/>
      <c r="O30" s="3"/>
      <c r="P30" s="3"/>
      <c r="Q30" s="29"/>
      <c r="R30" s="29"/>
    </row>
    <row r="31" spans="9:18" x14ac:dyDescent="0.15">
      <c r="J31" s="45">
        <f t="shared" si="0"/>
        <v>7.0000000000000007E-2</v>
      </c>
      <c r="K31" s="2"/>
      <c r="L31" s="2"/>
      <c r="M31" s="45">
        <f t="shared" si="1"/>
        <v>5.0000000000000044E-3</v>
      </c>
      <c r="N31" s="19"/>
      <c r="O31" s="3"/>
      <c r="P31" s="3"/>
      <c r="Q31" s="29"/>
      <c r="R31" s="29"/>
    </row>
    <row r="32" spans="9:18" x14ac:dyDescent="0.15">
      <c r="J32" s="45">
        <f t="shared" si="0"/>
        <v>0.08</v>
      </c>
      <c r="K32" s="2"/>
      <c r="L32" s="2"/>
      <c r="M32" s="45">
        <f t="shared" si="1"/>
        <v>1.4999999999999999E-2</v>
      </c>
      <c r="N32" s="19"/>
      <c r="O32" s="3"/>
      <c r="P32" s="3"/>
      <c r="Q32" s="29"/>
      <c r="R32" s="29"/>
    </row>
    <row r="33" spans="9:19" x14ac:dyDescent="0.15">
      <c r="J33" s="19"/>
      <c r="K33" s="2"/>
      <c r="L33" s="2"/>
      <c r="M33" s="2"/>
      <c r="N33" s="19"/>
      <c r="O33" s="3"/>
      <c r="P33" s="3"/>
      <c r="Q33" s="3"/>
      <c r="R33" s="3"/>
    </row>
    <row r="34" spans="9:19" x14ac:dyDescent="0.15">
      <c r="J34" s="19"/>
      <c r="K34" s="2"/>
      <c r="L34" s="2"/>
      <c r="M34" s="2"/>
      <c r="N34" s="19"/>
      <c r="O34" s="3"/>
      <c r="P34" s="3"/>
      <c r="Q34" s="3"/>
      <c r="R34" s="3"/>
    </row>
    <row r="35" spans="9:19" x14ac:dyDescent="0.15">
      <c r="I35" s="34" t="s">
        <v>29</v>
      </c>
      <c r="J35" s="18" t="s">
        <v>17</v>
      </c>
      <c r="K35" s="2"/>
      <c r="L35" s="2"/>
      <c r="M35" s="2"/>
      <c r="N35" s="19"/>
      <c r="O35" s="3"/>
      <c r="P35" s="3"/>
      <c r="Q35" s="3"/>
      <c r="R35" s="3"/>
    </row>
    <row r="36" spans="9:19" x14ac:dyDescent="0.15">
      <c r="J36" s="18" t="s">
        <v>18</v>
      </c>
      <c r="L36" s="2"/>
      <c r="M36" s="2"/>
      <c r="N36" s="2"/>
      <c r="O36" s="3"/>
      <c r="P36" s="3"/>
      <c r="Q36" s="3"/>
      <c r="R36" s="3"/>
    </row>
    <row r="37" spans="9:19" x14ac:dyDescent="0.15">
      <c r="J37" s="18" t="s">
        <v>14</v>
      </c>
      <c r="K37" s="2"/>
      <c r="L37" s="2"/>
      <c r="M37" s="18" t="s">
        <v>15</v>
      </c>
      <c r="N37" s="3"/>
      <c r="O37" s="3"/>
      <c r="P37" s="3"/>
      <c r="Q37" s="3"/>
      <c r="R37" s="3"/>
    </row>
    <row r="38" spans="9:19" x14ac:dyDescent="0.15">
      <c r="J38" s="4" t="s">
        <v>2</v>
      </c>
      <c r="K38" s="4" t="s">
        <v>3</v>
      </c>
      <c r="M38" s="4" t="s">
        <v>2</v>
      </c>
      <c r="N38" s="4" t="s">
        <v>5</v>
      </c>
      <c r="O38" s="3"/>
      <c r="P38" s="4"/>
      <c r="Q38" s="4"/>
      <c r="R38" s="4"/>
      <c r="S38" s="4"/>
    </row>
    <row r="39" spans="9:19" x14ac:dyDescent="0.15">
      <c r="J39" s="46">
        <f t="array" ref="J39:J42">MMULT(MINVERSE(K12:N15),J29:J32)</f>
        <v>0.10186529331294758</v>
      </c>
      <c r="K39" s="46">
        <f>(J39/SUM($J$39:$J$42))</f>
        <v>5.3985865109542834E-2</v>
      </c>
      <c r="L39" s="2"/>
      <c r="M39" s="46">
        <f t="array" ref="M39:M42">MMULT(MINVERSE(K12:N15),M29:M32)</f>
        <v>-1.0089321638368079E-2</v>
      </c>
      <c r="N39" s="46">
        <f>M39/SUM($M$39:$M$42)</f>
        <v>-0.11629826823363552</v>
      </c>
      <c r="O39" s="3"/>
      <c r="P39" s="29"/>
      <c r="Q39" s="29"/>
      <c r="R39" s="5"/>
      <c r="S39" s="29"/>
    </row>
    <row r="40" spans="9:19" x14ac:dyDescent="0.15">
      <c r="J40" s="46">
        <v>0.56570370966444017</v>
      </c>
      <c r="K40" s="46">
        <f t="shared" ref="K40:K42" si="2">(J40/SUM($J$39:$J$42))</f>
        <v>0.29980774774866981</v>
      </c>
      <c r="L40" s="2"/>
      <c r="M40" s="46">
        <v>-3.5286070652611266E-2</v>
      </c>
      <c r="N40" s="46">
        <f t="shared" ref="N40:N42" si="3">M40/SUM($M$39:$M$42)</f>
        <v>-0.40673784192414386</v>
      </c>
      <c r="O40" s="3"/>
      <c r="P40" s="29"/>
      <c r="Q40" s="29"/>
      <c r="R40" s="5"/>
      <c r="S40" s="29"/>
    </row>
    <row r="41" spans="9:19" x14ac:dyDescent="0.15">
      <c r="J41" s="46">
        <v>0.11413856924438728</v>
      </c>
      <c r="K41" s="46">
        <f t="shared" si="2"/>
        <v>6.0490371181609333E-2</v>
      </c>
      <c r="L41" s="2"/>
      <c r="M41" s="46">
        <v>4.715538746278284E-3</v>
      </c>
      <c r="N41" s="46">
        <f t="shared" si="3"/>
        <v>5.4355387769110405E-2</v>
      </c>
      <c r="O41" s="3"/>
      <c r="P41" s="29"/>
      <c r="Q41" s="29"/>
      <c r="R41" s="5"/>
      <c r="S41" s="29"/>
    </row>
    <row r="42" spans="9:19" x14ac:dyDescent="0.15">
      <c r="J42" s="46">
        <v>1.1051806550253478</v>
      </c>
      <c r="K42" s="46">
        <f t="shared" si="2"/>
        <v>0.58571601596017797</v>
      </c>
      <c r="L42" s="2"/>
      <c r="M42" s="46">
        <v>0.12741369598454977</v>
      </c>
      <c r="N42" s="46">
        <f t="shared" si="3"/>
        <v>1.4686807223886689</v>
      </c>
      <c r="O42" s="3"/>
      <c r="P42" s="29"/>
      <c r="Q42" s="29"/>
      <c r="R42" s="5"/>
      <c r="S42" s="29"/>
    </row>
    <row r="43" spans="9:19" x14ac:dyDescent="0.15">
      <c r="J43" s="18"/>
      <c r="K43" s="2"/>
      <c r="L43" s="2"/>
      <c r="M43" s="18"/>
      <c r="N43" s="3"/>
      <c r="O43" s="3"/>
      <c r="P43" s="3"/>
      <c r="Q43" s="3"/>
      <c r="R43" s="3"/>
    </row>
    <row r="44" spans="9:19" x14ac:dyDescent="0.15">
      <c r="J44" s="18" t="s">
        <v>19</v>
      </c>
      <c r="K44" s="2"/>
      <c r="L44" s="2"/>
      <c r="M44" s="18"/>
      <c r="N44" s="3"/>
      <c r="O44" s="3"/>
      <c r="P44" s="3"/>
      <c r="Q44" s="3"/>
      <c r="R44" s="3"/>
    </row>
    <row r="45" spans="9:19" x14ac:dyDescent="0.15">
      <c r="J45" s="18"/>
      <c r="K45" s="2"/>
      <c r="L45" s="2"/>
      <c r="M45" s="18"/>
      <c r="N45" s="3"/>
      <c r="O45" s="3"/>
      <c r="P45" s="3"/>
      <c r="Q45" s="3"/>
      <c r="R45" s="3"/>
    </row>
    <row r="46" spans="9:19" x14ac:dyDescent="0.15">
      <c r="J46" s="18"/>
      <c r="K46" s="2"/>
      <c r="L46" s="2"/>
      <c r="M46" s="18"/>
      <c r="N46" s="3"/>
      <c r="O46" s="3"/>
      <c r="P46" s="3"/>
      <c r="Q46" s="3"/>
      <c r="R46" s="3"/>
    </row>
    <row r="47" spans="9:19" x14ac:dyDescent="0.15">
      <c r="I47" s="6" t="s">
        <v>16</v>
      </c>
      <c r="J47" s="18" t="s">
        <v>22</v>
      </c>
      <c r="K47" s="2"/>
      <c r="L47" s="2"/>
      <c r="M47" s="18"/>
      <c r="N47" s="3"/>
      <c r="O47" s="3"/>
      <c r="P47" s="3"/>
      <c r="Q47" s="3"/>
      <c r="R47" s="3"/>
    </row>
    <row r="48" spans="9:19" x14ac:dyDescent="0.15">
      <c r="I48" s="6"/>
      <c r="J48" s="18" t="s">
        <v>23</v>
      </c>
      <c r="K48" s="2"/>
      <c r="L48" s="2"/>
      <c r="M48" s="18"/>
      <c r="N48" s="3"/>
      <c r="O48" s="3"/>
      <c r="P48" s="3"/>
      <c r="Q48" s="3"/>
      <c r="R48" s="3"/>
    </row>
    <row r="49" spans="9:18" x14ac:dyDescent="0.15">
      <c r="J49" s="18"/>
      <c r="K49" s="2"/>
      <c r="L49" s="2"/>
      <c r="M49" s="18"/>
      <c r="N49" s="3"/>
      <c r="O49" s="3"/>
      <c r="P49" s="4"/>
      <c r="Q49" s="3"/>
      <c r="R49" s="3"/>
    </row>
    <row r="50" spans="9:18" x14ac:dyDescent="0.15">
      <c r="J50" s="18"/>
      <c r="K50" s="31" t="s">
        <v>3</v>
      </c>
      <c r="L50" s="31" t="s">
        <v>5</v>
      </c>
      <c r="M50" s="18"/>
      <c r="N50" s="3"/>
      <c r="O50" s="3"/>
      <c r="P50" s="3"/>
      <c r="Q50" s="31"/>
      <c r="R50" s="31"/>
    </row>
    <row r="51" spans="9:18" x14ac:dyDescent="0.15">
      <c r="J51" s="18" t="s">
        <v>0</v>
      </c>
      <c r="K51" s="46" cm="1">
        <f t="array" ref="K51">MMULT(TRANSPOSE(J29:J32),K39:K42)</f>
        <v>6.9321146553532956E-2</v>
      </c>
      <c r="L51" s="46" cm="1">
        <f t="array" ref="L51">MMULT(TRANSPOSE(N39:N42),P12:P15)</f>
        <v>9.398454674470591E-2</v>
      </c>
      <c r="M51" s="18"/>
      <c r="N51" s="3"/>
      <c r="O51" s="3"/>
      <c r="P51" s="18"/>
      <c r="Q51" s="29"/>
      <c r="R51" s="29"/>
    </row>
    <row r="52" spans="9:18" x14ac:dyDescent="0.15">
      <c r="J52" s="18" t="s">
        <v>21</v>
      </c>
      <c r="K52" s="46" cm="1">
        <f t="array" ref="K52">MMULT(TRANSPOSE(K39:K42),MMULT(K12:N15,K39:K42))</f>
        <v>3.6738342818890282E-2</v>
      </c>
      <c r="L52" s="46" cm="1">
        <f t="array" ref="L52">MMULT(TRANSPOSE(N39:N42),MMULT(K12:N15,N39:N42))</f>
        <v>0.33410101419775762</v>
      </c>
      <c r="M52" s="18"/>
      <c r="N52" s="3"/>
      <c r="O52" s="3"/>
      <c r="P52" s="18"/>
      <c r="Q52" s="29"/>
      <c r="R52" s="29"/>
    </row>
    <row r="53" spans="9:18" x14ac:dyDescent="0.15">
      <c r="J53" s="18" t="s">
        <v>9</v>
      </c>
      <c r="K53" s="46">
        <f>SQRT(K52)</f>
        <v>0.19167248842463094</v>
      </c>
      <c r="L53" s="46">
        <f>SQRT(L52)</f>
        <v>0.57801471797676363</v>
      </c>
      <c r="M53" s="18"/>
      <c r="N53" s="3"/>
      <c r="O53" s="3"/>
      <c r="P53" s="18"/>
      <c r="Q53" s="29"/>
      <c r="R53" s="29"/>
    </row>
    <row r="54" spans="9:18" x14ac:dyDescent="0.15">
      <c r="J54" s="18"/>
      <c r="K54" s="2"/>
      <c r="L54" s="2"/>
      <c r="M54" s="18"/>
      <c r="N54" s="3"/>
      <c r="O54" s="3"/>
      <c r="P54" s="18"/>
      <c r="Q54" s="3"/>
      <c r="R54" s="3"/>
    </row>
    <row r="55" spans="9:18" x14ac:dyDescent="0.15">
      <c r="J55" s="18" t="s">
        <v>6</v>
      </c>
      <c r="K55" s="46" cm="1">
        <f t="array" ref="K55">MMULT(TRANSPOSE(K39:K42),MMULT(K12:N15,N39:N42))</f>
        <v>4.9809281433603879E-2</v>
      </c>
      <c r="L55" s="2"/>
      <c r="M55" s="18"/>
      <c r="N55" s="3"/>
      <c r="O55" s="3"/>
      <c r="P55" s="18"/>
      <c r="Q55" s="29"/>
      <c r="R55" s="3"/>
    </row>
    <row r="56" spans="9:18" x14ac:dyDescent="0.15">
      <c r="J56" s="18" t="s">
        <v>7</v>
      </c>
      <c r="K56" s="46">
        <f>K55/(K53*L53)</f>
        <v>0.44958477778430411</v>
      </c>
      <c r="L56" s="2"/>
      <c r="M56" s="18"/>
      <c r="N56" s="3"/>
      <c r="O56" s="3"/>
      <c r="P56" s="18"/>
      <c r="Q56" s="29"/>
      <c r="R56" s="3"/>
    </row>
    <row r="57" spans="9:18" x14ac:dyDescent="0.15">
      <c r="J57" s="18"/>
      <c r="K57" s="2"/>
      <c r="L57" s="2"/>
      <c r="M57" s="18"/>
      <c r="N57" s="3"/>
      <c r="O57" s="3"/>
      <c r="P57" s="3"/>
      <c r="Q57" s="3"/>
      <c r="R57" s="3"/>
    </row>
    <row r="58" spans="9:18" x14ac:dyDescent="0.15">
      <c r="J58" s="18"/>
      <c r="K58" s="2"/>
      <c r="L58" s="2"/>
      <c r="M58" s="18"/>
      <c r="N58" s="3"/>
      <c r="O58" s="3"/>
      <c r="P58" s="3"/>
      <c r="Q58" s="3"/>
      <c r="R58" s="3"/>
    </row>
    <row r="59" spans="9:18" x14ac:dyDescent="0.15">
      <c r="I59" s="6" t="s">
        <v>20</v>
      </c>
      <c r="J59" s="18" t="s">
        <v>24</v>
      </c>
      <c r="K59" s="2"/>
      <c r="L59" s="2"/>
      <c r="M59" s="18"/>
      <c r="N59" s="3"/>
      <c r="O59" s="3"/>
      <c r="P59" s="3"/>
      <c r="Q59" s="3"/>
      <c r="R59" s="3"/>
    </row>
    <row r="60" spans="9:18" x14ac:dyDescent="0.15">
      <c r="J60" s="18"/>
      <c r="K60" s="2"/>
      <c r="L60" s="2"/>
      <c r="M60" s="18"/>
      <c r="N60" s="3"/>
      <c r="O60" s="3"/>
      <c r="P60" s="3"/>
      <c r="Q60" s="3"/>
      <c r="R60" s="3"/>
    </row>
    <row r="61" spans="9:18" x14ac:dyDescent="0.15">
      <c r="I61" t="s">
        <v>27</v>
      </c>
      <c r="J61" s="18" t="s">
        <v>28</v>
      </c>
      <c r="K61" s="2"/>
      <c r="L61" s="2"/>
      <c r="M61" s="18"/>
      <c r="N61" s="3"/>
      <c r="O61" s="3"/>
      <c r="P61" s="3"/>
      <c r="Q61" s="3"/>
      <c r="R61" s="3"/>
    </row>
    <row r="62" spans="9:18" x14ac:dyDescent="0.15">
      <c r="J62" s="18"/>
      <c r="K62" s="2"/>
      <c r="L62" s="2"/>
      <c r="M62" s="18"/>
      <c r="N62" s="3"/>
      <c r="O62" s="3"/>
      <c r="P62" s="3"/>
      <c r="Q62" s="3"/>
      <c r="R62" s="3"/>
    </row>
    <row r="63" spans="9:18" x14ac:dyDescent="0.15">
      <c r="J63" s="18" t="s">
        <v>8</v>
      </c>
      <c r="K63" s="2">
        <v>0.3</v>
      </c>
      <c r="L63" s="2"/>
      <c r="M63" s="18"/>
      <c r="N63" s="3"/>
      <c r="O63" s="3"/>
      <c r="P63" s="4"/>
      <c r="Q63" s="3"/>
      <c r="R63" s="3"/>
    </row>
    <row r="64" spans="9:18" ht="15" x14ac:dyDescent="0.2">
      <c r="J64" s="32" t="s">
        <v>25</v>
      </c>
      <c r="K64" s="46">
        <f>K63*K51+(1-K63)*L51</f>
        <v>8.6585526687354031E-2</v>
      </c>
      <c r="L64" s="2"/>
      <c r="M64" s="18"/>
      <c r="N64" s="3"/>
      <c r="O64" s="3"/>
      <c r="P64" s="32"/>
      <c r="Q64" s="29"/>
      <c r="R64" s="3"/>
    </row>
    <row r="65" spans="9:18" ht="15" x14ac:dyDescent="0.2">
      <c r="J65" s="33" t="s">
        <v>26</v>
      </c>
      <c r="K65" s="46">
        <f>SQRT(K63^2*K52+(1-K63)^2 * L52 + 2*K63*(1-K63)*K55)</f>
        <v>0.43351568139193647</v>
      </c>
      <c r="L65" s="2"/>
      <c r="M65" s="18"/>
      <c r="N65" s="3"/>
      <c r="O65" s="3"/>
      <c r="P65" s="33"/>
      <c r="Q65" s="29"/>
      <c r="R65" s="3"/>
    </row>
    <row r="66" spans="9:18" x14ac:dyDescent="0.15">
      <c r="J66" s="33"/>
      <c r="K66" s="43"/>
      <c r="L66" s="2"/>
      <c r="M66" s="18"/>
      <c r="N66" s="3"/>
      <c r="O66" s="3"/>
      <c r="P66" s="33"/>
      <c r="Q66" s="29"/>
      <c r="R66" s="3"/>
    </row>
    <row r="67" spans="9:18" x14ac:dyDescent="0.15">
      <c r="J67" s="33"/>
      <c r="K67" s="2"/>
      <c r="L67" s="2"/>
      <c r="M67" s="18"/>
      <c r="N67" s="3"/>
      <c r="O67" s="3"/>
      <c r="P67" s="33"/>
      <c r="Q67" s="29"/>
      <c r="R67" s="3"/>
    </row>
    <row r="68" spans="9:18" x14ac:dyDescent="0.15">
      <c r="I68" t="s">
        <v>29</v>
      </c>
      <c r="J68" s="34" t="s">
        <v>30</v>
      </c>
      <c r="K68" s="2"/>
      <c r="L68" s="2"/>
      <c r="M68" s="18"/>
      <c r="N68" s="3"/>
      <c r="O68" s="3"/>
      <c r="P68" s="33"/>
      <c r="Q68" s="29"/>
      <c r="R68" s="3"/>
    </row>
    <row r="69" spans="9:18" x14ac:dyDescent="0.15">
      <c r="K69" s="33"/>
      <c r="L69" s="32"/>
      <c r="M69" s="18"/>
      <c r="N69" s="3"/>
      <c r="O69" s="3"/>
      <c r="P69" s="6"/>
      <c r="Q69" s="29"/>
      <c r="R69" s="3"/>
    </row>
    <row r="70" spans="9:18" ht="15" x14ac:dyDescent="0.2">
      <c r="J70" s="44" t="s">
        <v>8</v>
      </c>
      <c r="K70" s="54" t="s">
        <v>26</v>
      </c>
      <c r="L70" s="55" t="s">
        <v>25</v>
      </c>
      <c r="M70" s="18"/>
      <c r="N70" s="3"/>
      <c r="O70" s="3"/>
      <c r="P70" s="33"/>
      <c r="Q70" s="33"/>
      <c r="R70" s="32"/>
    </row>
    <row r="71" spans="9:18" x14ac:dyDescent="0.15">
      <c r="J71" s="56"/>
      <c r="K71" s="47">
        <f>K65</f>
        <v>0.43351568139193647</v>
      </c>
      <c r="L71" s="48">
        <f>K64</f>
        <v>8.6585526687354031E-2</v>
      </c>
      <c r="M71" s="18"/>
      <c r="N71" s="3"/>
      <c r="O71" s="3"/>
      <c r="Q71" s="35"/>
      <c r="R71" s="35"/>
    </row>
    <row r="72" spans="9:18" x14ac:dyDescent="0.15">
      <c r="J72" s="53">
        <v>-0.4</v>
      </c>
      <c r="K72" s="51">
        <f t="dataTable" ref="K72:L92" dt2D="0" dtr="0" r1="K63"/>
        <v>0.77777228510213126</v>
      </c>
      <c r="L72" s="52">
        <v>0.10384990682117509</v>
      </c>
      <c r="M72" s="18"/>
      <c r="N72" s="3"/>
      <c r="O72" s="3"/>
      <c r="P72" s="3"/>
      <c r="Q72" s="35"/>
      <c r="R72" s="35"/>
    </row>
    <row r="73" spans="9:18" x14ac:dyDescent="0.15">
      <c r="J73" s="53">
        <v>-0.3</v>
      </c>
      <c r="K73" s="51">
        <v>0.72738292895125012</v>
      </c>
      <c r="L73" s="52">
        <v>0.10138356680205779</v>
      </c>
      <c r="M73" s="18"/>
      <c r="N73" s="3"/>
      <c r="O73" s="3"/>
      <c r="P73" s="3"/>
      <c r="Q73" s="35"/>
      <c r="R73" s="35"/>
    </row>
    <row r="74" spans="9:18" x14ac:dyDescent="0.15">
      <c r="J74" s="53">
        <v>-0.2</v>
      </c>
      <c r="K74" s="51">
        <v>0.6772492444214292</v>
      </c>
      <c r="L74" s="52">
        <v>9.8917226782940501E-2</v>
      </c>
      <c r="M74" s="18"/>
      <c r="N74" s="3"/>
      <c r="O74" s="3"/>
      <c r="P74" s="3"/>
      <c r="Q74" s="35"/>
      <c r="R74" s="35"/>
    </row>
    <row r="75" spans="9:18" x14ac:dyDescent="0.15">
      <c r="J75" s="53">
        <v>-0.1</v>
      </c>
      <c r="K75" s="51">
        <v>0.62743252122605409</v>
      </c>
      <c r="L75" s="52">
        <v>9.6450886763823213E-2</v>
      </c>
      <c r="M75" s="18"/>
      <c r="N75" s="3"/>
      <c r="O75" s="3"/>
      <c r="P75" s="3"/>
      <c r="Q75" s="35"/>
      <c r="R75" s="35"/>
    </row>
    <row r="76" spans="9:18" x14ac:dyDescent="0.15">
      <c r="J76" s="53">
        <v>0</v>
      </c>
      <c r="K76" s="51">
        <v>0.57801471797676363</v>
      </c>
      <c r="L76" s="52">
        <v>9.398454674470591E-2</v>
      </c>
      <c r="M76" s="18"/>
      <c r="N76" s="3"/>
      <c r="O76" s="3"/>
      <c r="P76" s="3"/>
      <c r="Q76" s="35"/>
      <c r="R76" s="35"/>
    </row>
    <row r="77" spans="9:18" x14ac:dyDescent="0.15">
      <c r="J77" s="53">
        <v>0.1</v>
      </c>
      <c r="K77" s="51">
        <v>0.52910762193189143</v>
      </c>
      <c r="L77" s="52">
        <v>9.1518206725588608E-2</v>
      </c>
      <c r="M77" s="18"/>
      <c r="N77" s="3"/>
      <c r="O77" s="3"/>
      <c r="P77" s="3"/>
      <c r="Q77" s="35"/>
      <c r="R77" s="35"/>
    </row>
    <row r="78" spans="9:18" x14ac:dyDescent="0.15">
      <c r="J78" s="53">
        <v>0.2</v>
      </c>
      <c r="K78" s="51">
        <v>0.48086708439866599</v>
      </c>
      <c r="L78" s="52">
        <v>8.9051866706471319E-2</v>
      </c>
      <c r="M78" s="18"/>
      <c r="N78" s="3"/>
      <c r="O78" s="3"/>
      <c r="P78" s="3"/>
      <c r="Q78" s="35"/>
      <c r="R78" s="35"/>
    </row>
    <row r="79" spans="9:18" x14ac:dyDescent="0.15">
      <c r="J79" s="53">
        <v>0.3</v>
      </c>
      <c r="K79" s="51">
        <v>0.43351568139193647</v>
      </c>
      <c r="L79" s="52">
        <v>8.6585526687354031E-2</v>
      </c>
      <c r="M79" s="18"/>
      <c r="N79" s="3"/>
      <c r="O79" s="3"/>
      <c r="P79" s="3"/>
      <c r="Q79" s="35"/>
      <c r="R79" s="35"/>
    </row>
    <row r="80" spans="9:18" x14ac:dyDescent="0.15">
      <c r="J80" s="53">
        <v>0.4</v>
      </c>
      <c r="K80" s="51">
        <v>0.3873796007152997</v>
      </c>
      <c r="L80" s="52">
        <v>8.4119186668236728E-2</v>
      </c>
      <c r="M80" s="18"/>
      <c r="N80" s="49"/>
      <c r="O80" s="3"/>
      <c r="P80" s="3"/>
      <c r="Q80" s="35"/>
      <c r="R80" s="35"/>
    </row>
    <row r="81" spans="9:18" x14ac:dyDescent="0.15">
      <c r="J81" s="53">
        <v>0.5</v>
      </c>
      <c r="K81" s="51">
        <v>0.34294967556620304</v>
      </c>
      <c r="L81" s="52">
        <v>8.1652846649119426E-2</v>
      </c>
      <c r="M81" s="18"/>
      <c r="N81" s="3"/>
      <c r="O81" s="3"/>
      <c r="P81" s="3"/>
      <c r="Q81" s="35"/>
      <c r="R81" s="35"/>
    </row>
    <row r="82" spans="9:18" x14ac:dyDescent="0.15">
      <c r="J82" s="53">
        <v>0.6</v>
      </c>
      <c r="K82" s="51">
        <v>0.30098242602280217</v>
      </c>
      <c r="L82" s="52">
        <v>7.9186506630002138E-2</v>
      </c>
      <c r="M82" s="18"/>
      <c r="N82" s="3"/>
      <c r="O82" s="3"/>
      <c r="P82" s="3"/>
      <c r="Q82" s="35"/>
      <c r="R82" s="35"/>
    </row>
    <row r="83" spans="9:18" x14ac:dyDescent="0.15">
      <c r="J83" s="53">
        <v>0.7</v>
      </c>
      <c r="K83" s="51">
        <v>0.26266095534199224</v>
      </c>
      <c r="L83" s="52">
        <v>7.6720166610884849E-2</v>
      </c>
      <c r="M83" s="18"/>
      <c r="N83" s="3"/>
      <c r="O83" s="3"/>
      <c r="P83" s="3"/>
      <c r="Q83" s="35"/>
      <c r="R83" s="35"/>
    </row>
    <row r="84" spans="9:18" x14ac:dyDescent="0.15">
      <c r="J84" s="53">
        <v>0.8</v>
      </c>
      <c r="K84" s="51">
        <v>0.22981633978190785</v>
      </c>
      <c r="L84" s="52">
        <v>7.4253826591767547E-2</v>
      </c>
      <c r="M84" s="18"/>
      <c r="N84" s="3"/>
      <c r="O84" s="3"/>
      <c r="P84" s="3"/>
      <c r="Q84" s="35"/>
      <c r="R84" s="35"/>
    </row>
    <row r="85" spans="9:18" x14ac:dyDescent="0.15">
      <c r="J85" s="53">
        <v>0.9</v>
      </c>
      <c r="K85" s="51">
        <v>0.20509690022847105</v>
      </c>
      <c r="L85" s="52">
        <v>7.1787486572650244E-2</v>
      </c>
      <c r="M85" s="18"/>
      <c r="N85" s="3"/>
      <c r="O85" s="3"/>
      <c r="P85" s="3"/>
      <c r="Q85" s="35"/>
      <c r="R85" s="35"/>
    </row>
    <row r="86" spans="9:18" x14ac:dyDescent="0.15">
      <c r="J86" s="53">
        <v>1</v>
      </c>
      <c r="K86" s="51">
        <v>0.19167248842463094</v>
      </c>
      <c r="L86" s="52">
        <v>6.9321146553532956E-2</v>
      </c>
      <c r="M86" s="18"/>
      <c r="N86" s="3"/>
      <c r="O86" s="3"/>
      <c r="P86" s="3"/>
      <c r="Q86" s="35"/>
      <c r="R86" s="35"/>
    </row>
    <row r="87" spans="9:18" x14ac:dyDescent="0.15">
      <c r="J87" s="53">
        <v>1.1000000000000001</v>
      </c>
      <c r="K87" s="51">
        <v>0.19192801524905623</v>
      </c>
      <c r="L87" s="52">
        <v>6.6854806534415653E-2</v>
      </c>
      <c r="M87" s="18"/>
      <c r="N87" s="3"/>
      <c r="O87" s="3"/>
      <c r="P87" s="3"/>
      <c r="Q87" s="35"/>
      <c r="R87" s="35"/>
    </row>
    <row r="88" spans="9:18" x14ac:dyDescent="0.15">
      <c r="J88" s="53">
        <v>1.2</v>
      </c>
      <c r="K88" s="51">
        <v>0.2058125339695871</v>
      </c>
      <c r="L88" s="52">
        <v>6.4388466515298365E-2</v>
      </c>
      <c r="M88" s="18"/>
      <c r="N88" s="3"/>
      <c r="O88" s="3"/>
      <c r="P88" s="3"/>
      <c r="Q88" s="35"/>
      <c r="R88" s="35"/>
    </row>
    <row r="89" spans="9:18" x14ac:dyDescent="0.15">
      <c r="J89" s="53">
        <v>1.3</v>
      </c>
      <c r="K89" s="51">
        <v>0.2308801661544615</v>
      </c>
      <c r="L89" s="52">
        <v>6.1922126496181076E-2</v>
      </c>
      <c r="M89" s="18"/>
      <c r="N89" s="3"/>
      <c r="O89" s="3"/>
      <c r="P89" s="3"/>
      <c r="Q89" s="35"/>
      <c r="R89" s="35"/>
    </row>
    <row r="90" spans="9:18" x14ac:dyDescent="0.15">
      <c r="J90" s="53">
        <v>1.4</v>
      </c>
      <c r="K90" s="51">
        <v>0.26396385925165927</v>
      </c>
      <c r="L90" s="52">
        <v>5.9455786477063781E-2</v>
      </c>
      <c r="M90" s="18"/>
      <c r="N90" s="3"/>
      <c r="O90" s="3"/>
      <c r="P90" s="3"/>
      <c r="Q90" s="35"/>
      <c r="R90" s="35"/>
    </row>
    <row r="91" spans="9:18" x14ac:dyDescent="0.15">
      <c r="J91" s="53">
        <v>1.5</v>
      </c>
      <c r="K91" s="51">
        <v>0.3024443795833156</v>
      </c>
      <c r="L91" s="52">
        <v>5.6989446457946485E-2</v>
      </c>
      <c r="M91" s="18"/>
      <c r="N91" s="3"/>
      <c r="O91" s="3"/>
      <c r="P91" s="3"/>
      <c r="Q91" s="35"/>
      <c r="R91" s="35"/>
    </row>
    <row r="92" spans="9:18" x14ac:dyDescent="0.15">
      <c r="J92" s="53">
        <v>1.6</v>
      </c>
      <c r="K92" s="51">
        <v>0.34451807263920492</v>
      </c>
      <c r="L92" s="52">
        <v>5.4523106438829176E-2</v>
      </c>
      <c r="M92" s="18"/>
      <c r="N92" s="3"/>
      <c r="O92" s="3"/>
      <c r="P92" s="3"/>
      <c r="Q92" s="35"/>
      <c r="R92" s="35"/>
    </row>
    <row r="93" spans="9:18" x14ac:dyDescent="0.15">
      <c r="K93" s="33"/>
      <c r="L93" s="32"/>
      <c r="M93" s="18"/>
      <c r="N93" s="3"/>
      <c r="O93" s="3"/>
      <c r="P93" s="33"/>
      <c r="Q93" s="29"/>
      <c r="R93" s="3"/>
    </row>
    <row r="94" spans="9:18" x14ac:dyDescent="0.15">
      <c r="K94" s="33"/>
      <c r="L94" s="32"/>
      <c r="M94" s="18"/>
      <c r="N94" s="3"/>
      <c r="O94" s="3"/>
      <c r="P94" s="33"/>
      <c r="Q94" s="29"/>
      <c r="R94" s="3"/>
    </row>
    <row r="95" spans="9:18" x14ac:dyDescent="0.15">
      <c r="I95" t="s">
        <v>31</v>
      </c>
      <c r="J95" s="34" t="s">
        <v>32</v>
      </c>
      <c r="K95" s="33"/>
      <c r="L95" s="32"/>
      <c r="M95" s="18"/>
      <c r="N95" s="3"/>
      <c r="O95" s="3"/>
      <c r="P95" s="33"/>
      <c r="Q95" s="29"/>
      <c r="R95" s="3"/>
    </row>
    <row r="96" spans="9:18" x14ac:dyDescent="0.15">
      <c r="J96" s="34"/>
      <c r="K96" s="33"/>
      <c r="L96" s="32"/>
      <c r="M96" s="18"/>
      <c r="N96" s="3"/>
      <c r="O96" s="3"/>
      <c r="P96" s="33"/>
      <c r="Q96" s="29"/>
      <c r="R96" s="3"/>
    </row>
    <row r="97" spans="9:18" x14ac:dyDescent="0.15">
      <c r="I97" s="6"/>
      <c r="J97" s="34"/>
      <c r="K97" s="33"/>
      <c r="L97" s="32"/>
      <c r="M97" s="18"/>
      <c r="N97" s="3"/>
      <c r="O97" s="3"/>
      <c r="P97" s="33"/>
      <c r="Q97" s="29"/>
      <c r="R97" s="3"/>
    </row>
    <row r="98" spans="9:18" x14ac:dyDescent="0.15">
      <c r="J98" s="34"/>
      <c r="K98" s="33"/>
      <c r="L98" s="32"/>
      <c r="M98" s="18"/>
      <c r="N98" s="3"/>
      <c r="O98" s="3"/>
      <c r="P98" s="33"/>
      <c r="Q98" s="29"/>
      <c r="R98" s="3"/>
    </row>
    <row r="99" spans="9:18" x14ac:dyDescent="0.15">
      <c r="J99" s="34"/>
      <c r="K99" s="33"/>
      <c r="L99" s="32"/>
      <c r="M99" s="18"/>
      <c r="N99" s="3"/>
      <c r="O99" s="3"/>
      <c r="P99" s="33"/>
      <c r="Q99" s="29"/>
      <c r="R99" s="3"/>
    </row>
    <row r="100" spans="9:18" x14ac:dyDescent="0.15">
      <c r="J100" s="34"/>
      <c r="K100" s="33"/>
      <c r="L100" s="32"/>
      <c r="M100" s="18"/>
      <c r="N100" s="3"/>
      <c r="O100" s="3"/>
      <c r="P100" s="33"/>
      <c r="Q100" s="29"/>
      <c r="R100" s="3"/>
    </row>
    <row r="101" spans="9:18" x14ac:dyDescent="0.15">
      <c r="J101" s="34"/>
      <c r="K101" s="33"/>
      <c r="L101" s="32"/>
      <c r="M101" s="18"/>
      <c r="N101" s="3"/>
      <c r="O101" s="3"/>
      <c r="P101" s="33"/>
      <c r="Q101" s="29"/>
      <c r="R101" s="3"/>
    </row>
    <row r="102" spans="9:18" x14ac:dyDescent="0.15">
      <c r="J102" s="34"/>
      <c r="K102" s="33"/>
      <c r="L102" s="32"/>
      <c r="M102" s="18"/>
      <c r="N102" s="3"/>
      <c r="O102" s="3"/>
      <c r="P102" s="33"/>
      <c r="Q102" s="29"/>
      <c r="R102" s="3"/>
    </row>
    <row r="103" spans="9:18" x14ac:dyDescent="0.15">
      <c r="J103" s="34"/>
      <c r="K103" s="33"/>
      <c r="L103" s="32"/>
      <c r="M103" s="18"/>
      <c r="N103" s="3"/>
      <c r="O103" s="3"/>
      <c r="P103" s="33"/>
      <c r="Q103" s="29"/>
      <c r="R103" s="3"/>
    </row>
    <row r="104" spans="9:18" x14ac:dyDescent="0.15">
      <c r="J104" s="34"/>
      <c r="K104" s="33"/>
      <c r="L104" s="32"/>
      <c r="M104" s="18"/>
      <c r="N104" s="3"/>
      <c r="O104" s="3"/>
      <c r="P104" s="33"/>
      <c r="Q104" s="29"/>
      <c r="R104" s="3"/>
    </row>
    <row r="105" spans="9:18" x14ac:dyDescent="0.15">
      <c r="J105" s="34"/>
      <c r="K105" s="33"/>
      <c r="L105" s="32"/>
      <c r="M105" s="18"/>
      <c r="N105" s="3"/>
      <c r="O105" s="3"/>
      <c r="P105" s="33"/>
      <c r="Q105" s="29"/>
      <c r="R105" s="3"/>
    </row>
    <row r="106" spans="9:18" x14ac:dyDescent="0.15">
      <c r="K106" s="33"/>
      <c r="L106" s="32"/>
      <c r="M106" s="18"/>
      <c r="N106" s="3"/>
      <c r="O106" s="3"/>
      <c r="P106" s="33"/>
      <c r="Q106" s="29"/>
      <c r="R106" s="3"/>
    </row>
    <row r="107" spans="9:18" x14ac:dyDescent="0.15">
      <c r="K107" s="33"/>
      <c r="L107" s="32"/>
      <c r="M107" s="18"/>
      <c r="N107" s="3"/>
      <c r="O107" s="3"/>
      <c r="P107" s="33"/>
      <c r="Q107" s="29"/>
      <c r="R107" s="3"/>
    </row>
    <row r="108" spans="9:18" x14ac:dyDescent="0.15">
      <c r="K108" s="33"/>
      <c r="L108" s="32"/>
      <c r="M108" s="18"/>
      <c r="N108" s="3"/>
      <c r="O108" s="3"/>
      <c r="P108" s="33"/>
      <c r="Q108" s="29"/>
      <c r="R108" s="3"/>
    </row>
    <row r="109" spans="9:18" x14ac:dyDescent="0.15">
      <c r="J109" s="33"/>
      <c r="K109" s="2"/>
      <c r="L109" s="2"/>
      <c r="M109" s="18"/>
      <c r="N109" s="3"/>
      <c r="O109" s="3"/>
      <c r="P109" s="33"/>
      <c r="Q109" s="29"/>
      <c r="R109" s="3"/>
    </row>
    <row r="110" spans="9:18" x14ac:dyDescent="0.15">
      <c r="J110" s="33"/>
      <c r="K110" s="2"/>
      <c r="L110" s="2"/>
      <c r="M110" s="18"/>
      <c r="N110" s="3"/>
      <c r="O110" s="3"/>
      <c r="P110" s="33"/>
      <c r="Q110" s="29"/>
      <c r="R110" s="3"/>
    </row>
    <row r="111" spans="9:18" x14ac:dyDescent="0.15">
      <c r="J111" s="33"/>
      <c r="K111" s="2"/>
      <c r="L111" s="2"/>
      <c r="M111" s="18"/>
      <c r="N111" s="3"/>
      <c r="O111" s="3"/>
      <c r="P111" s="33"/>
      <c r="Q111" s="29"/>
      <c r="R111" s="3"/>
    </row>
    <row r="112" spans="9:18" x14ac:dyDescent="0.15">
      <c r="J112" s="33"/>
      <c r="K112" s="2"/>
      <c r="L112" s="2"/>
      <c r="M112" s="18"/>
      <c r="N112" s="3"/>
      <c r="O112" s="3"/>
      <c r="P112" s="33"/>
      <c r="Q112" s="29"/>
      <c r="R112" s="3"/>
    </row>
    <row r="115" spans="10:16" x14ac:dyDescent="0.15">
      <c r="K115" s="4"/>
      <c r="L115" s="4"/>
      <c r="N115" s="4"/>
      <c r="O115" s="4"/>
      <c r="P115" s="4"/>
    </row>
    <row r="116" spans="10:16" x14ac:dyDescent="0.15">
      <c r="K116" s="5"/>
      <c r="L116" s="5"/>
      <c r="N116" s="5"/>
      <c r="O116" s="5"/>
      <c r="P116" s="5"/>
    </row>
    <row r="117" spans="10:16" x14ac:dyDescent="0.15">
      <c r="K117" s="5"/>
      <c r="L117" s="5"/>
      <c r="N117" s="5"/>
      <c r="O117" s="5"/>
      <c r="P117" s="5"/>
    </row>
    <row r="118" spans="10:16" x14ac:dyDescent="0.15">
      <c r="K118" s="5"/>
      <c r="L118" s="5"/>
      <c r="N118" s="5"/>
      <c r="O118" s="5"/>
      <c r="P118" s="5"/>
    </row>
    <row r="119" spans="10:16" x14ac:dyDescent="0.15">
      <c r="K119" s="5"/>
      <c r="L119" s="5"/>
      <c r="N119" s="5"/>
      <c r="O119" s="5"/>
      <c r="P119" s="5"/>
    </row>
    <row r="122" spans="10:16" x14ac:dyDescent="0.15">
      <c r="J122" s="6"/>
    </row>
    <row r="123" spans="10:16" x14ac:dyDescent="0.15">
      <c r="J123" s="5"/>
      <c r="K123" s="5"/>
      <c r="L123" s="5"/>
      <c r="M123" s="5"/>
    </row>
    <row r="125" spans="10:16" x14ac:dyDescent="0.15">
      <c r="J125" s="6"/>
    </row>
    <row r="126" spans="10:16" x14ac:dyDescent="0.15">
      <c r="J126" s="5"/>
      <c r="K126" s="5"/>
      <c r="L126" s="5"/>
      <c r="M126" s="5"/>
    </row>
    <row r="128" spans="10:16" x14ac:dyDescent="0.15">
      <c r="J128" s="6"/>
      <c r="K128" s="5"/>
      <c r="M128" s="6"/>
      <c r="N128" s="5"/>
    </row>
    <row r="129" spans="10:19" x14ac:dyDescent="0.15">
      <c r="J129" s="6"/>
      <c r="K129" s="5"/>
      <c r="M129" s="6"/>
      <c r="N129" s="5"/>
    </row>
    <row r="130" spans="10:19" x14ac:dyDescent="0.15">
      <c r="J130" s="6"/>
      <c r="K130" s="5"/>
      <c r="M130" s="6"/>
      <c r="N130" s="5"/>
    </row>
    <row r="132" spans="10:19" x14ac:dyDescent="0.15">
      <c r="J132" s="6"/>
      <c r="K132" s="5"/>
    </row>
    <row r="133" spans="10:19" x14ac:dyDescent="0.15">
      <c r="J133" s="6"/>
      <c r="K133" s="5"/>
    </row>
    <row r="136" spans="10:19" x14ac:dyDescent="0.15">
      <c r="M136" s="61"/>
      <c r="N136" s="61"/>
      <c r="O136" s="61"/>
      <c r="P136" s="4"/>
    </row>
    <row r="137" spans="10:19" x14ac:dyDescent="0.15">
      <c r="J137" s="6"/>
      <c r="M137" s="61"/>
      <c r="N137" s="61"/>
      <c r="O137" s="61"/>
      <c r="P137" s="4"/>
    </row>
    <row r="138" spans="10:19" x14ac:dyDescent="0.15">
      <c r="M138" s="61"/>
      <c r="N138" s="61"/>
      <c r="O138" s="61"/>
      <c r="P138" s="4"/>
    </row>
    <row r="139" spans="10:19" x14ac:dyDescent="0.15">
      <c r="K139" s="7"/>
    </row>
    <row r="140" spans="10:19" x14ac:dyDescent="0.15">
      <c r="K140" s="7"/>
      <c r="M140" s="36"/>
      <c r="N140" s="37"/>
      <c r="O140" s="5"/>
      <c r="P140" s="5"/>
    </row>
    <row r="141" spans="10:19" x14ac:dyDescent="0.15">
      <c r="M141" s="36"/>
      <c r="N141" s="5"/>
      <c r="O141" s="5"/>
      <c r="P141" s="5"/>
    </row>
    <row r="142" spans="10:19" x14ac:dyDescent="0.15">
      <c r="M142" s="36"/>
      <c r="N142" s="5"/>
      <c r="O142" s="5"/>
      <c r="P142" s="5"/>
      <c r="Q142" s="5"/>
      <c r="R142" s="5"/>
      <c r="S142" s="3"/>
    </row>
    <row r="143" spans="10:19" x14ac:dyDescent="0.15">
      <c r="M143" s="36"/>
      <c r="N143" s="5"/>
      <c r="O143" s="5"/>
      <c r="P143" s="5"/>
    </row>
    <row r="144" spans="10:19" x14ac:dyDescent="0.15">
      <c r="M144" s="36"/>
      <c r="N144" s="5"/>
      <c r="O144" s="5"/>
      <c r="P144" s="5"/>
    </row>
    <row r="145" spans="13:19" x14ac:dyDescent="0.15">
      <c r="M145" s="36"/>
      <c r="N145" s="5"/>
      <c r="O145" s="5"/>
      <c r="P145" s="5"/>
      <c r="Q145" s="5"/>
      <c r="R145" s="5"/>
      <c r="S145" s="3"/>
    </row>
    <row r="146" spans="13:19" x14ac:dyDescent="0.15">
      <c r="M146" s="36"/>
      <c r="N146" s="5"/>
      <c r="O146" s="5"/>
      <c r="P146" s="5"/>
    </row>
    <row r="147" spans="13:19" x14ac:dyDescent="0.15">
      <c r="M147" s="36"/>
      <c r="N147" s="5"/>
      <c r="O147" s="5"/>
      <c r="P147" s="5"/>
      <c r="Q147" s="5"/>
      <c r="R147" s="5"/>
      <c r="S147" s="3"/>
    </row>
    <row r="148" spans="13:19" x14ac:dyDescent="0.15">
      <c r="M148" s="36"/>
      <c r="N148" s="5"/>
      <c r="O148" s="5"/>
      <c r="P148" s="5"/>
    </row>
    <row r="149" spans="13:19" x14ac:dyDescent="0.15">
      <c r="M149" s="36"/>
      <c r="N149" s="5"/>
      <c r="O149" s="5"/>
      <c r="P149" s="5"/>
    </row>
    <row r="150" spans="13:19" x14ac:dyDescent="0.15">
      <c r="M150" s="36"/>
      <c r="N150" s="5"/>
      <c r="O150" s="5"/>
      <c r="P150" s="5"/>
    </row>
    <row r="151" spans="13:19" x14ac:dyDescent="0.15">
      <c r="M151" s="36"/>
      <c r="N151" s="5"/>
      <c r="O151" s="5"/>
      <c r="P151" s="5"/>
    </row>
    <row r="152" spans="13:19" x14ac:dyDescent="0.15">
      <c r="M152" s="36"/>
      <c r="N152" s="5"/>
      <c r="O152" s="5"/>
      <c r="P152" s="5"/>
    </row>
    <row r="153" spans="13:19" x14ac:dyDescent="0.15">
      <c r="M153" s="36"/>
      <c r="N153" s="5"/>
      <c r="O153" s="5"/>
      <c r="P153" s="5"/>
    </row>
    <row r="154" spans="13:19" x14ac:dyDescent="0.15">
      <c r="M154" s="36"/>
      <c r="N154" s="5"/>
      <c r="O154" s="5"/>
      <c r="P154" s="5"/>
    </row>
    <row r="155" spans="13:19" x14ac:dyDescent="0.15">
      <c r="M155" s="36"/>
      <c r="N155" s="5"/>
      <c r="O155" s="5"/>
      <c r="P155" s="5"/>
      <c r="Q155" s="5"/>
      <c r="R155" s="5"/>
      <c r="S155" s="3"/>
    </row>
    <row r="156" spans="13:19" x14ac:dyDescent="0.15">
      <c r="M156" s="36"/>
      <c r="N156" s="5"/>
      <c r="O156" s="5"/>
      <c r="P156" s="5"/>
    </row>
    <row r="157" spans="13:19" x14ac:dyDescent="0.15">
      <c r="M157" s="36"/>
      <c r="N157" s="5"/>
      <c r="O157" s="5"/>
      <c r="P157" s="5"/>
    </row>
    <row r="158" spans="13:19" x14ac:dyDescent="0.15">
      <c r="M158" s="36"/>
      <c r="N158" s="5"/>
      <c r="O158" s="5"/>
      <c r="P158" s="5"/>
    </row>
    <row r="159" spans="13:19" x14ac:dyDescent="0.15">
      <c r="M159" s="36"/>
      <c r="N159" s="5"/>
      <c r="O159" s="5"/>
      <c r="P159" s="5"/>
    </row>
    <row r="160" spans="13:19" x14ac:dyDescent="0.15">
      <c r="M160" s="36"/>
      <c r="N160" s="5"/>
      <c r="O160" s="5"/>
      <c r="P160" s="5"/>
    </row>
    <row r="161" spans="13:19" x14ac:dyDescent="0.15">
      <c r="M161" s="36"/>
      <c r="N161" s="5"/>
      <c r="O161" s="5"/>
      <c r="P161" s="5"/>
      <c r="Q161" s="5"/>
      <c r="R161" s="5"/>
      <c r="S161" s="3"/>
    </row>
  </sheetData>
  <mergeCells count="3">
    <mergeCell ref="M136:O136"/>
    <mergeCell ref="M137:O137"/>
    <mergeCell ref="M138:O138"/>
  </mergeCells>
  <phoneticPr fontId="0" type="noConversion"/>
  <pageMargins left="0.75" right="0.75" top="1" bottom="1" header="0.5" footer="0.5"/>
  <pageSetup paperSize="9" orientation="landscape" horizontalDpi="300" verticalDpi="300" r:id="rId1"/>
  <headerFooter alignWithMargins="0">
    <oddFooter>&amp;L&amp;A : &amp;F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4F2B1-2E4C-4E17-A6FD-0E07E2B86D89}">
  <sheetPr codeName="Sheet3"/>
  <dimension ref="BJ6:DN44"/>
  <sheetViews>
    <sheetView zoomScale="50" zoomScaleNormal="50" workbookViewId="0"/>
  </sheetViews>
  <sheetFormatPr baseColWidth="10" defaultColWidth="8.83203125" defaultRowHeight="13" x14ac:dyDescent="0.15"/>
  <sheetData>
    <row r="6" spans="62:65" x14ac:dyDescent="0.15">
      <c r="BJ6" s="62">
        <v>45176.53633101852</v>
      </c>
    </row>
    <row r="8" spans="62:65" x14ac:dyDescent="0.15">
      <c r="BM8" t="s">
        <v>47</v>
      </c>
    </row>
    <row r="44" spans="118:118" x14ac:dyDescent="0.15">
      <c r="DN44" t="s">
        <v>45</v>
      </c>
    </row>
  </sheetData>
  <sheetProtection algorithmName="SHA-512" hashValue="vhknTb61/8+k/bqJ3cP4CGQwQ3w4dZ93ut8jPdD7d0GrA4vfMEeym9hcet/RXxyfk3DD14Ej/fAFVfKinVn5Sw==" saltValue="YHRGMYP2oFRxmZgrGzT06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Name</vt:lpstr>
      <vt:lpstr>EfficientFrontier</vt:lpstr>
      <vt:lpstr>df_1</vt:lpstr>
    </vt:vector>
  </TitlesOfParts>
  <Company>Monash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Mikhail Bhatia</dc:creator>
  <cp:lastModifiedBy>Grant Fullston</cp:lastModifiedBy>
  <cp:lastPrinted>2000-03-23T04:42:04Z</cp:lastPrinted>
  <dcterms:created xsi:type="dcterms:W3CDTF">1999-08-18T04:43:35Z</dcterms:created>
  <dcterms:modified xsi:type="dcterms:W3CDTF">2023-09-07T04:15:37Z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FC3540A">
    <vt:lpwstr>2019Semester2</vt:lpwstr>
  </property>
  <property fmtid="{D5CDD505-2E9C-101B-9397-08002B2CF9AE}" pid="3" name="BFC3540B">
    <vt:lpwstr>ÍÏÎÇ¬Î|¼</vt:lpwstr>
  </property>
  <property fmtid="{D5CDD505-2E9C-101B-9397-08002B2CF9AE}" pid="4" name="BFC3540C">
    <vt:lpwstr>ÍÏÎÇ¬Î|½¹¼ÌÊËÏ «¯</vt:lpwstr>
  </property>
  <property fmtid="{D5CDD505-2E9C-101B-9397-08002B2CF9AE}" pid="5" name="BFC3540D">
    <vt:lpwstr>ÍÏÎÇ¬Î|</vt:lpwstr>
  </property>
  <property fmtid="{D5CDD505-2E9C-101B-9397-08002B2CF9AE}" pid="6" name="BFC3540E">
    <vt:lpwstr>ÍÏÎÇ¬Î|</vt:lpwstr>
  </property>
  <property fmtid="{D5CDD505-2E9C-101B-9397-08002B2CF9AE}" pid="7" name="BFC3540F">
    <vt:lpwstr>141120</vt:lpwstr>
  </property>
</Properties>
</file>