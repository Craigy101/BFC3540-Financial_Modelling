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/Desktop/Uni Sub/2023/Sem2/BFC3540 Financial Modelling/Week8/"/>
    </mc:Choice>
  </mc:AlternateContent>
  <xr:revisionPtr revIDLastSave="0" documentId="13_ncr:1_{507CA7AD-1B68-0E47-88BE-C25A9455D5CD}" xr6:coauthVersionLast="47" xr6:coauthVersionMax="47" xr10:uidLastSave="{00000000-0000-0000-0000-000000000000}"/>
  <bookViews>
    <workbookView xWindow="3200" yWindow="-21100" windowWidth="38400" windowHeight="21100" activeTab="3" xr2:uid="{00000000-000D-0000-FFFF-FFFF00000000}"/>
  </bookViews>
  <sheets>
    <sheet name="Name" sheetId="4" r:id="rId1"/>
    <sheet name="Columns, Average, StDev" sheetId="2" r:id="rId2"/>
    <sheet name="Count, ReDim, Transpose" sheetId="1" r:id="rId3"/>
    <sheet name="Matrix Multiplication" sheetId="3" r:id="rId4"/>
    <sheet name="other" sheetId="6" state="veryHidden" r:id="rId5"/>
  </sheets>
  <functionGroups builtInGroupCount="19"/>
  <externalReferences>
    <externalReference r:id="rId6"/>
    <externalReference r:id="rId7"/>
  </externalReferences>
  <definedNames>
    <definedName name="A">'Matrix Multiplication'!$M$20:$O$21</definedName>
    <definedName name="â" hidden="1">other!$BR$15</definedName>
    <definedName name="AB">'Matrix Multiplication'!$T$20:$U$21</definedName>
    <definedName name="ABout">'Matrix Multiplication'!$T$20:$U$21</definedName>
    <definedName name="B">'Matrix Multiplication'!$Q$20:$R$22</definedName>
    <definedName name="CustomVariablesStoredValue">#REF!</definedName>
    <definedName name="CustomVariablesValue">#REF!</definedName>
    <definedName name="df_1">'Columns, Average, StDev'!$AB$60,'Columns, Average, StDev'!$P$43:$W$45,'Columns, Average, StDev'!$P$47:$X$50,'Columns, Average, StDev'!$P$69:$AA$79</definedName>
    <definedName name="df_2">'Count, ReDim, Transpose'!$N$25,'Count, ReDim, Transpose'!$I$26:$L$28,'Count, ReDim, Transpose'!$H$36:$W$41,'Count, ReDim, Transpose'!$H$45:$V$50,'Count, ReDim, Transpose'!$H$71:$R$77,'Count, ReDim, Transpose'!$H$81:$R$87</definedName>
    <definedName name="df_3">'Matrix Multiplication'!$AA$18,'Matrix Multiplication'!$S$13:$AB$15,'Matrix Multiplication'!$T$20:$AC$24</definedName>
    <definedName name="è" hidden="1">other!$EA$53</definedName>
    <definedName name="î" hidden="1">other!$CR$17</definedName>
    <definedName name="logret">'Columns, Average, StDev'!$P$55:$V$65</definedName>
    <definedName name="logrets">'Count, ReDim, Transpose'!$H$55:$N$65</definedName>
    <definedName name="MatrixA">#REF!</definedName>
    <definedName name="MatrixB">#REF!</definedName>
    <definedName name="newname">'Columns, Average, StDev'!$P$25:$U$34</definedName>
    <definedName name="ö" hidden="1">other!$DR$23</definedName>
    <definedName name="Portfolio_Mean1">'[1]Set 1 - Task 3'!$C$19</definedName>
    <definedName name="Portfolio_Mean2">'[1]Set 2 - Task 3'!$C$19</definedName>
    <definedName name="Portfolio_Mean3">'[1]Set 3 - Task 3'!$C$19</definedName>
    <definedName name="Range1" hidden="1">other!$BS$15</definedName>
    <definedName name="Range2" hidden="1">other!$BV$17</definedName>
    <definedName name="Range3" hidden="1">other!$DI$23</definedName>
    <definedName name="Range4" hidden="1">other!$DW$53</definedName>
    <definedName name="returns">'Count, ReDim, Transpose'!$H$8:$M$17</definedName>
    <definedName name="six_stocks">'Columns, Average, StDev'!$P$25:$U$34</definedName>
    <definedName name="Stock_Data1">'Columns, Average, StDev'!$P$24:$U$34</definedName>
    <definedName name="Stock_Data2">'Columns, Average, StDev'!$P$54:$V$65</definedName>
    <definedName name="Stock_Date1">'Columns, Average, StDev'!$O$25:$O$34</definedName>
    <definedName name="Stock_Date2">'Columns, Average, StDev'!$O$55:$O$65</definedName>
    <definedName name="Stock_Info">'Columns, Average, StDev'!$Q$36:$R$41</definedName>
    <definedName name="Stock_Name">[2]VarCov!$C$5:$H$5</definedName>
    <definedName name="Stock1_Data">'[1]Set 1 - Task 1'!$C$6:$C$15</definedName>
    <definedName name="Stock1_Proportion">'[1]Set 1 - Task 3'!$C$14</definedName>
    <definedName name="Stock2_Data">'[1]Set 1 - Task 1'!$D$6:$D$15</definedName>
    <definedName name="Stock3_Data">'[1]Set 2 - Task 1'!$C$6:$C$15</definedName>
    <definedName name="Stock3_Proportion">'[1]Set 2 - Task 3'!$C$14</definedName>
    <definedName name="Stock4_Data">'[1]Set 2 - Task 1'!$D$6:$D$15</definedName>
    <definedName name="Stock5_Data">'[1]Set 3 - Task 1'!$C$6:$C$15</definedName>
    <definedName name="Stock5_Proportion">'[1]Set 3 - Task 3'!$C$14</definedName>
    <definedName name="Stock6_Data">'[1]Set 3 - Task 1'!$D$6:$D$15</definedName>
    <definedName name="transout1">'Count, ReDim, Transpose'!$H$36:$Q$41</definedName>
    <definedName name="Y">'Matrix Multiplication'!$P$13:$Q$14</definedName>
    <definedName name="Z">'Matrix Multiplication'!$M$13:$N$14</definedName>
    <definedName name="ZYout">'Matrix Multiplication'!$S$13:$T$14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20" i="3" l="1" a="1"/>
  <c r="Z20" i="3" s="1"/>
  <c r="Y13" i="3" a="1"/>
  <c r="Y13" i="3" s="1"/>
  <c r="P47" i="2"/>
  <c r="W20" i="3" a="1"/>
  <c r="V13" i="3" a="1"/>
  <c r="V75" i="2" a="1"/>
  <c r="U75" i="2" a="1"/>
  <c r="U45" i="2" a="1"/>
  <c r="Q71" i="2" a="1"/>
  <c r="R75" i="2" a="1"/>
  <c r="T71" i="2" a="1"/>
  <c r="S75" i="2" a="1"/>
  <c r="P75" i="2" a="1"/>
  <c r="P45" i="2" a="1"/>
  <c r="R71" i="2" a="1"/>
  <c r="Q45" i="2" a="1"/>
  <c r="P71" i="2" a="1"/>
  <c r="S49" i="2" a="1"/>
  <c r="U49" i="2" a="1"/>
  <c r="R45" i="2" a="1"/>
  <c r="T45" i="2" a="1"/>
  <c r="Q49" i="2" a="1"/>
  <c r="H81" i="1" a="1"/>
  <c r="P49" i="2" a="1"/>
  <c r="T75" i="2" a="1"/>
  <c r="S45" i="2" a="1"/>
  <c r="T49" i="2" a="1"/>
  <c r="H45" i="1" a="1"/>
  <c r="V71" i="2" a="1"/>
  <c r="R49" i="2" a="1"/>
  <c r="S71" i="2" a="1"/>
  <c r="Q75" i="2" a="1"/>
  <c r="U71" i="2" a="1"/>
  <c r="W20" i="3" l="1"/>
  <c r="V13" i="3"/>
  <c r="H81" i="1"/>
  <c r="H45" i="1"/>
  <c r="R71" i="2"/>
  <c r="T71" i="2"/>
  <c r="V71" i="2"/>
  <c r="U71" i="2"/>
  <c r="S71" i="2"/>
  <c r="Q71" i="2"/>
  <c r="P71" i="2"/>
  <c r="V75" i="2"/>
  <c r="T75" i="2"/>
  <c r="R75" i="2"/>
  <c r="P75" i="2"/>
  <c r="U75" i="2"/>
  <c r="S75" i="2"/>
  <c r="Q75" i="2"/>
  <c r="T49" i="2"/>
  <c r="R49" i="2"/>
  <c r="U49" i="2"/>
  <c r="S49" i="2"/>
  <c r="Q49" i="2"/>
  <c r="P49" i="2"/>
  <c r="P45" i="2"/>
  <c r="T45" i="2"/>
  <c r="R45" i="2"/>
  <c r="U45" i="2"/>
  <c r="S45" i="2"/>
  <c r="Q45" i="2"/>
  <c r="Q73" i="2" l="1"/>
  <c r="R73" i="2"/>
  <c r="S73" i="2"/>
  <c r="T73" i="2"/>
  <c r="U73" i="2"/>
  <c r="V73" i="2"/>
  <c r="P73" i="2"/>
  <c r="Q69" i="2"/>
  <c r="R69" i="2"/>
  <c r="S69" i="2"/>
  <c r="T69" i="2"/>
  <c r="U69" i="2"/>
  <c r="V69" i="2"/>
  <c r="P69" i="2"/>
  <c r="Q47" i="2"/>
  <c r="R47" i="2"/>
  <c r="S47" i="2"/>
  <c r="T47" i="2"/>
  <c r="U47" i="2"/>
  <c r="U43" i="2"/>
  <c r="Q43" i="2"/>
  <c r="R43" i="2"/>
  <c r="S43" i="2"/>
  <c r="T43" i="2"/>
  <c r="P43" i="2"/>
  <c r="G55" i="1" a="1"/>
  <c r="G59" i="1" s="1"/>
  <c r="I19" i="1" a="1"/>
  <c r="H7" i="1" a="1"/>
  <c r="H54" i="1" a="1"/>
  <c r="G8" i="1" a="1"/>
  <c r="N56" i="1" l="1"/>
  <c r="I22" i="1"/>
  <c r="M7" i="1"/>
  <c r="G14" i="1"/>
  <c r="K65" i="1"/>
  <c r="J64" i="1"/>
  <c r="I63" i="1"/>
  <c r="H62" i="1"/>
  <c r="N60" i="1"/>
  <c r="M59" i="1"/>
  <c r="L58" i="1"/>
  <c r="K57" i="1"/>
  <c r="J56" i="1"/>
  <c r="I55" i="1"/>
  <c r="H54" i="1"/>
  <c r="K62" i="1"/>
  <c r="M56" i="1"/>
  <c r="M63" i="1"/>
  <c r="L62" i="1"/>
  <c r="J60" i="1"/>
  <c r="H58" i="1"/>
  <c r="L54" i="1"/>
  <c r="H65" i="1"/>
  <c r="N63" i="1"/>
  <c r="L61" i="1"/>
  <c r="K60" i="1"/>
  <c r="J59" i="1"/>
  <c r="I58" i="1"/>
  <c r="H57" i="1"/>
  <c r="M54" i="1"/>
  <c r="H64" i="1"/>
  <c r="M61" i="1"/>
  <c r="L60" i="1"/>
  <c r="J58" i="1"/>
  <c r="I57" i="1"/>
  <c r="N54" i="1"/>
  <c r="J65" i="1"/>
  <c r="H63" i="1"/>
  <c r="N61" i="1"/>
  <c r="L59" i="1"/>
  <c r="K58" i="1"/>
  <c r="J57" i="1"/>
  <c r="H55" i="1"/>
  <c r="L65" i="1"/>
  <c r="K64" i="1"/>
  <c r="J63" i="1"/>
  <c r="I62" i="1"/>
  <c r="H61" i="1"/>
  <c r="N59" i="1"/>
  <c r="M58" i="1"/>
  <c r="L57" i="1"/>
  <c r="K56" i="1"/>
  <c r="J55" i="1"/>
  <c r="I54" i="1"/>
  <c r="N65" i="1"/>
  <c r="L63" i="1"/>
  <c r="I60" i="1"/>
  <c r="L55" i="1"/>
  <c r="N64" i="1"/>
  <c r="K61" i="1"/>
  <c r="I59" i="1"/>
  <c r="M55" i="1"/>
  <c r="M62" i="1"/>
  <c r="N55" i="1"/>
  <c r="I65" i="1"/>
  <c r="N62" i="1"/>
  <c r="K59" i="1"/>
  <c r="H56" i="1"/>
  <c r="I64" i="1"/>
  <c r="M60" i="1"/>
  <c r="I56" i="1"/>
  <c r="M65" i="1"/>
  <c r="L64" i="1"/>
  <c r="K63" i="1"/>
  <c r="J62" i="1"/>
  <c r="I61" i="1"/>
  <c r="H60" i="1"/>
  <c r="N58" i="1"/>
  <c r="M57" i="1"/>
  <c r="L56" i="1"/>
  <c r="K55" i="1"/>
  <c r="J54" i="1"/>
  <c r="M64" i="1"/>
  <c r="J61" i="1"/>
  <c r="H59" i="1"/>
  <c r="N57" i="1"/>
  <c r="K54" i="1"/>
  <c r="G63" i="1"/>
  <c r="G55" i="1"/>
  <c r="G61" i="1"/>
  <c r="G62" i="1"/>
  <c r="G64" i="1"/>
  <c r="G56" i="1"/>
  <c r="G60" i="1"/>
  <c r="G65" i="1"/>
  <c r="G57" i="1"/>
  <c r="G58" i="1"/>
  <c r="J23" i="1"/>
  <c r="J19" i="1"/>
  <c r="I23" i="1"/>
  <c r="I24" i="1"/>
  <c r="I20" i="1"/>
  <c r="J22" i="1"/>
  <c r="I19" i="1"/>
  <c r="J24" i="1"/>
  <c r="J20" i="1"/>
  <c r="I21" i="1"/>
  <c r="J21" i="1"/>
  <c r="L14" i="1"/>
  <c r="L10" i="1"/>
  <c r="M14" i="1"/>
  <c r="K9" i="1"/>
  <c r="J12" i="1"/>
  <c r="H7" i="1"/>
  <c r="H16" i="1"/>
  <c r="H12" i="1"/>
  <c r="K17" i="1"/>
  <c r="K13" i="1"/>
  <c r="I8" i="1"/>
  <c r="L17" i="1"/>
  <c r="H15" i="1"/>
  <c r="H11" i="1"/>
  <c r="J8" i="1"/>
  <c r="M17" i="1"/>
  <c r="K16" i="1"/>
  <c r="I15" i="1"/>
  <c r="M13" i="1"/>
  <c r="K12" i="1"/>
  <c r="I11" i="1"/>
  <c r="M9" i="1"/>
  <c r="K8" i="1"/>
  <c r="I7" i="1"/>
  <c r="J16" i="1"/>
  <c r="L13" i="1"/>
  <c r="L9" i="1"/>
  <c r="L16" i="1"/>
  <c r="J15" i="1"/>
  <c r="H14" i="1"/>
  <c r="L12" i="1"/>
  <c r="J11" i="1"/>
  <c r="H10" i="1"/>
  <c r="L8" i="1"/>
  <c r="J7" i="1"/>
  <c r="J17" i="1"/>
  <c r="J9" i="1"/>
  <c r="I12" i="1"/>
  <c r="M16" i="1"/>
  <c r="M12" i="1"/>
  <c r="K7" i="1"/>
  <c r="H17" i="1"/>
  <c r="L15" i="1"/>
  <c r="J14" i="1"/>
  <c r="H13" i="1"/>
  <c r="L11" i="1"/>
  <c r="J10" i="1"/>
  <c r="H9" i="1"/>
  <c r="L7" i="1"/>
  <c r="J13" i="1"/>
  <c r="H8" i="1"/>
  <c r="I16" i="1"/>
  <c r="M10" i="1"/>
  <c r="K15" i="1"/>
  <c r="I14" i="1"/>
  <c r="K11" i="1"/>
  <c r="I10" i="1"/>
  <c r="M8" i="1"/>
  <c r="I17" i="1"/>
  <c r="M15" i="1"/>
  <c r="K14" i="1"/>
  <c r="I13" i="1"/>
  <c r="M11" i="1"/>
  <c r="K10" i="1"/>
  <c r="I9" i="1"/>
  <c r="G8" i="1"/>
  <c r="G9" i="1"/>
  <c r="G10" i="1"/>
  <c r="G11" i="1"/>
  <c r="G12" i="1"/>
  <c r="G15" i="1"/>
  <c r="G16" i="1"/>
  <c r="G17" i="1"/>
  <c r="G13" i="1"/>
  <c r="G87" i="1"/>
  <c r="G41" i="1" l="1"/>
  <c r="H35" i="1" a="1"/>
  <c r="N35" i="1" s="1"/>
  <c r="N44" i="1" s="1"/>
  <c r="H70" i="1" a="1"/>
  <c r="N70" i="1" s="1"/>
  <c r="N80" i="1" s="1"/>
  <c r="G36" i="1" l="1"/>
  <c r="G45" i="1" s="1"/>
  <c r="G37" i="1"/>
  <c r="G46" i="1" s="1"/>
  <c r="G38" i="1"/>
  <c r="G47" i="1" s="1"/>
  <c r="G39" i="1"/>
  <c r="G74" i="1" s="1"/>
  <c r="G84" i="1" s="1"/>
  <c r="G40" i="1"/>
  <c r="G49" i="1" s="1"/>
  <c r="I70" i="1"/>
  <c r="I80" i="1" s="1"/>
  <c r="I35" i="1"/>
  <c r="I44" i="1" s="1"/>
  <c r="R70" i="1"/>
  <c r="R80" i="1" s="1"/>
  <c r="O35" i="1"/>
  <c r="O44" i="1" s="1"/>
  <c r="H35" i="1"/>
  <c r="H44" i="1" s="1"/>
  <c r="Q35" i="1"/>
  <c r="Q44" i="1" s="1"/>
  <c r="P70" i="1"/>
  <c r="P80" i="1" s="1"/>
  <c r="J35" i="1"/>
  <c r="J44" i="1" s="1"/>
  <c r="L70" i="1"/>
  <c r="L80" i="1" s="1"/>
  <c r="O70" i="1"/>
  <c r="O80" i="1" s="1"/>
  <c r="K35" i="1"/>
  <c r="K44" i="1" s="1"/>
  <c r="M70" i="1"/>
  <c r="M80" i="1" s="1"/>
  <c r="H70" i="1"/>
  <c r="H80" i="1" s="1"/>
  <c r="P35" i="1"/>
  <c r="P44" i="1" s="1"/>
  <c r="M35" i="1"/>
  <c r="M44" i="1" s="1"/>
  <c r="J70" i="1"/>
  <c r="J80" i="1" s="1"/>
  <c r="K70" i="1"/>
  <c r="K80" i="1" s="1"/>
  <c r="L35" i="1"/>
  <c r="L44" i="1" s="1"/>
  <c r="Q70" i="1"/>
  <c r="Q80" i="1" s="1"/>
  <c r="G76" i="1"/>
  <c r="G86" i="1" s="1"/>
  <c r="G50" i="1"/>
  <c r="G75" i="1" l="1"/>
  <c r="G85" i="1" s="1"/>
  <c r="G48" i="1"/>
  <c r="G71" i="1"/>
  <c r="G81" i="1" s="1"/>
  <c r="G72" i="1"/>
  <c r="G82" i="1" s="1"/>
  <c r="G73" i="1"/>
  <c r="G8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<sst xmlns="http://schemas.openxmlformats.org/spreadsheetml/2006/main" count="88" uniqueCount="64">
  <si>
    <t>Number of Rows:</t>
  </si>
  <si>
    <t>Number of Columns:</t>
  </si>
  <si>
    <t>This means that you need to swap the rows and columns of the above table.</t>
  </si>
  <si>
    <t>This is a means of checking to see if your program is working corrrectly.</t>
  </si>
  <si>
    <t>Average:</t>
  </si>
  <si>
    <t>Find the average and standard deviation of the returns for each stock.</t>
  </si>
  <si>
    <t>Plan your program if you are not sure where to start</t>
  </si>
  <si>
    <t>StDev:</t>
  </si>
  <si>
    <t>ALL ORDS</t>
  </si>
  <si>
    <t>Weekly log returns for six stocks and the ASX All Ords.</t>
  </si>
  <si>
    <t>Transposed weekly log returns for six stocks and the ASX All Ords.</t>
  </si>
  <si>
    <t>Z</t>
  </si>
  <si>
    <t>Y</t>
  </si>
  <si>
    <t>*</t>
  </si>
  <si>
    <t>=</t>
  </si>
  <si>
    <t>Multiply matrix Z and matrix Y to get matrix ZY</t>
  </si>
  <si>
    <t>You must store the returns into a two-dimensional array first</t>
  </si>
  <si>
    <t>Use VBA to count the number of rows and the number of columns as shown in the instructional video</t>
  </si>
  <si>
    <t>(1) Find the average of the numbers 1,2,3,4,5,6</t>
  </si>
  <si>
    <t>(2) Find the sample standard deviation of the numbers 1,2,3,4,5,6</t>
  </si>
  <si>
    <t>(3) Find the population standard deviation of the numbers 1,2,3,4,5,6</t>
  </si>
  <si>
    <t>Create the Message Boxes to do the following tasks:</t>
  </si>
  <si>
    <t>A</t>
  </si>
  <si>
    <t>B</t>
  </si>
  <si>
    <t>Multiply matrices A and B to test your generic matrix multiplication program</t>
  </si>
  <si>
    <t>Name:</t>
  </si>
  <si>
    <t>Resizing Arrays, Counting Rows and Columns</t>
  </si>
  <si>
    <t>Columns and Descriptive Statistics</t>
  </si>
  <si>
    <t>Matrix Multiplication</t>
  </si>
  <si>
    <t>Authcate:</t>
  </si>
  <si>
    <t>Weekly returns for six stocks</t>
  </si>
  <si>
    <t>VBA Subroutine</t>
  </si>
  <si>
    <t>VBA Function</t>
  </si>
  <si>
    <t>Transpose the stock returns and output them into the blue and green cells below.</t>
  </si>
  <si>
    <t>ZY Prototype</t>
  </si>
  <si>
    <t>AB Prototype</t>
  </si>
  <si>
    <t>AB Function</t>
  </si>
  <si>
    <t>ZY Function</t>
  </si>
  <si>
    <t>ZY Subroutine</t>
  </si>
  <si>
    <t>AB Subroutine</t>
  </si>
  <si>
    <t>File:</t>
  </si>
  <si>
    <t>You must first prototype your code in the yellow cells with the worksheet function Average() and Stdev().</t>
  </si>
  <si>
    <t>VBA4</t>
  </si>
  <si>
    <t>XASX:GEM</t>
  </si>
  <si>
    <t>XASX:JIN</t>
  </si>
  <si>
    <t>XASX:ACL</t>
  </si>
  <si>
    <t>XASX:MVF</t>
  </si>
  <si>
    <t>XASX:BCB</t>
  </si>
  <si>
    <t>XASX:PLS</t>
  </si>
  <si>
    <t>GEM</t>
  </si>
  <si>
    <t>G8 EDUCATION LIMITED</t>
  </si>
  <si>
    <t>JIN</t>
  </si>
  <si>
    <t>JUMBO INTERACTIVE LIMITED</t>
  </si>
  <si>
    <t>ACL</t>
  </si>
  <si>
    <t>Australian Clinical Labs Ltd</t>
  </si>
  <si>
    <t>MVF</t>
  </si>
  <si>
    <t>MONASH IVF GROUP LIMITED</t>
  </si>
  <si>
    <t>BCB</t>
  </si>
  <si>
    <t>BOWEN COKING COAL LIMITED</t>
  </si>
  <si>
    <t>PLS</t>
  </si>
  <si>
    <t>PILBARA MINERALS LIMITED</t>
  </si>
  <si>
    <t>4zlAyn4GvvgQwNctXrbfAwtm84VvPWRfj0QSdpiIaxLibO0BB9FxpyYnm6AD3XphO25T17NazFzjGgfCqBuzUzD5ROpFiZUi2KkVg82bdGeluiKUVTZ19Hs76PUXNr90hMOnLQhdIY33ZjyWtVxJoJWPlRs</t>
  </si>
  <si>
    <t>Grant Fullston</t>
  </si>
  <si>
    <t>gful0002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</si>
</sst>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sz val="12"/>
      <name val="Arial"/>
      <family val="2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222222"/>
      <name val="Calibri"/>
      <family val="2"/>
      <scheme val="minor"/>
    </font>
    <font>
      <u/>
      <sz val="11"/>
      <color theme="10"/>
      <name val="Calibri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10" fillId="0" borderId="0" applyFon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0" fillId="0" borderId="1" xfId="0" applyBorder="1"/>
    <xf numFmtId="0" fontId="3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1" xfId="0" applyFont="1" applyBorder="1"/>
    <xf numFmtId="164" fontId="3" fillId="0" borderId="0" xfId="0" applyNumberFormat="1" applyFont="1"/>
    <xf numFmtId="0" fontId="3" fillId="0" borderId="1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center"/>
    </xf>
    <xf numFmtId="0" fontId="0" fillId="2" borderId="0" xfId="0" applyFill="1"/>
    <xf numFmtId="0" fontId="3" fillId="0" borderId="2" xfId="0" applyFont="1" applyBorder="1" applyAlignment="1" applyProtection="1">
      <alignment horizontal="center"/>
      <protection locked="0"/>
    </xf>
    <xf numFmtId="15" fontId="3" fillId="0" borderId="5" xfId="0" applyNumberFormat="1" applyFont="1" applyBorder="1" applyAlignment="1" applyProtection="1">
      <alignment horizontal="center"/>
      <protection locked="0"/>
    </xf>
    <xf numFmtId="15" fontId="3" fillId="0" borderId="7" xfId="0" applyNumberFormat="1" applyFont="1" applyBorder="1" applyAlignment="1" applyProtection="1">
      <alignment horizontal="center"/>
      <protection locked="0"/>
    </xf>
    <xf numFmtId="15" fontId="2" fillId="0" borderId="3" xfId="0" applyNumberFormat="1" applyFont="1" applyBorder="1" applyAlignment="1">
      <alignment horizontal="center"/>
    </xf>
    <xf numFmtId="15" fontId="2" fillId="0" borderId="4" xfId="0" applyNumberFormat="1" applyFont="1" applyBorder="1" applyAlignment="1">
      <alignment horizontal="center"/>
    </xf>
    <xf numFmtId="0" fontId="0" fillId="0" borderId="2" xfId="0" applyBorder="1"/>
    <xf numFmtId="0" fontId="2" fillId="0" borderId="7" xfId="0" applyFont="1" applyBorder="1" applyAlignment="1">
      <alignment horizontal="center"/>
    </xf>
    <xf numFmtId="0" fontId="0" fillId="0" borderId="10" xfId="0" applyBorder="1"/>
    <xf numFmtId="0" fontId="0" fillId="2" borderId="10" xfId="0" applyFill="1" applyBorder="1"/>
    <xf numFmtId="0" fontId="2" fillId="0" borderId="0" xfId="0" applyFont="1" applyAlignment="1">
      <alignment horizontal="center"/>
    </xf>
    <xf numFmtId="44" fontId="0" fillId="0" borderId="0" xfId="1" applyFont="1" applyFill="1" applyBorder="1" applyAlignment="1" applyProtection="1">
      <alignment horizontal="right"/>
      <protection locked="0"/>
    </xf>
    <xf numFmtId="0" fontId="4" fillId="0" borderId="0" xfId="0" applyFont="1"/>
    <xf numFmtId="164" fontId="0" fillId="2" borderId="0" xfId="0" applyNumberFormat="1" applyFill="1"/>
    <xf numFmtId="0" fontId="5" fillId="4" borderId="0" xfId="0" applyFont="1" applyFill="1"/>
    <xf numFmtId="0" fontId="6" fillId="0" borderId="0" xfId="0" applyFont="1"/>
    <xf numFmtId="0" fontId="0" fillId="3" borderId="10" xfId="0" applyFill="1" applyBorder="1" applyProtection="1">
      <protection locked="0"/>
    </xf>
    <xf numFmtId="0" fontId="0" fillId="3" borderId="0" xfId="0" applyFill="1" applyProtection="1">
      <protection locked="0"/>
    </xf>
    <xf numFmtId="164" fontId="0" fillId="3" borderId="0" xfId="0" applyNumberFormat="1" applyFill="1" applyProtection="1">
      <protection locked="0"/>
    </xf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14" fontId="3" fillId="0" borderId="1" xfId="0" applyNumberFormat="1" applyFont="1" applyBorder="1" applyAlignment="1">
      <alignment horizontal="center"/>
    </xf>
    <xf numFmtId="164" fontId="2" fillId="0" borderId="0" xfId="0" applyNumberFormat="1" applyFont="1"/>
    <xf numFmtId="14" fontId="2" fillId="0" borderId="0" xfId="0" applyNumberFormat="1" applyFont="1"/>
    <xf numFmtId="164" fontId="2" fillId="0" borderId="5" xfId="0" applyNumberFormat="1" applyFont="1" applyBorder="1" applyAlignment="1">
      <alignment horizontal="center"/>
    </xf>
    <xf numFmtId="0" fontId="7" fillId="0" borderId="0" xfId="0" applyFont="1"/>
    <xf numFmtId="0" fontId="8" fillId="0" borderId="0" xfId="0" applyFont="1"/>
    <xf numFmtId="164" fontId="0" fillId="5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164" fontId="2" fillId="0" borderId="7" xfId="0" applyNumberFormat="1" applyFont="1" applyBorder="1" applyAlignment="1">
      <alignment horizontal="center"/>
    </xf>
    <xf numFmtId="0" fontId="0" fillId="5" borderId="6" xfId="0" applyFill="1" applyBorder="1" applyProtection="1">
      <protection locked="0"/>
    </xf>
    <xf numFmtId="0" fontId="0" fillId="5" borderId="8" xfId="0" applyFill="1" applyBorder="1" applyProtection="1">
      <protection locked="0"/>
    </xf>
    <xf numFmtId="0" fontId="0" fillId="5" borderId="9" xfId="0" applyFill="1" applyBorder="1" applyProtection="1">
      <protection locked="0"/>
    </xf>
    <xf numFmtId="0" fontId="0" fillId="5" borderId="10" xfId="0" applyFill="1" applyBorder="1" applyProtection="1">
      <protection locked="0"/>
    </xf>
    <xf numFmtId="164" fontId="3" fillId="0" borderId="3" xfId="0" applyNumberFormat="1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164" fontId="0" fillId="0" borderId="11" xfId="0" applyNumberFormat="1" applyBorder="1"/>
    <xf numFmtId="164" fontId="0" fillId="0" borderId="12" xfId="0" applyNumberFormat="1" applyBorder="1"/>
    <xf numFmtId="0" fontId="0" fillId="0" borderId="13" xfId="0" applyBorder="1"/>
    <xf numFmtId="164" fontId="0" fillId="0" borderId="1" xfId="0" applyNumberFormat="1" applyBorder="1"/>
    <xf numFmtId="164" fontId="0" fillId="0" borderId="0" xfId="0" applyNumberFormat="1"/>
    <xf numFmtId="0" fontId="0" fillId="0" borderId="6" xfId="0" applyBorder="1"/>
    <xf numFmtId="164" fontId="0" fillId="0" borderId="14" xfId="0" applyNumberFormat="1" applyBorder="1"/>
    <xf numFmtId="164" fontId="0" fillId="0" borderId="8" xfId="0" applyNumberFormat="1" applyBorder="1"/>
    <xf numFmtId="0" fontId="0" fillId="0" borderId="9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5" fontId="3" fillId="0" borderId="5" xfId="0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5" fontId="3" fillId="0" borderId="7" xfId="0" applyNumberFormat="1" applyFont="1" applyBorder="1" applyAlignment="1">
      <alignment horizontal="center"/>
    </xf>
    <xf numFmtId="0" fontId="0" fillId="0" borderId="14" xfId="0" applyBorder="1"/>
    <xf numFmtId="0" fontId="0" fillId="0" borderId="8" xfId="0" applyBorder="1"/>
    <xf numFmtId="22" fontId="0" fillId="0" borderId="0" xfId="0" applyNumberFormat="1"/>
  </cellXfs>
  <cellStyles count="5">
    <cellStyle name="Currency" xfId="1" builtinId="4"/>
    <cellStyle name="Hyperlink 2" xfId="2" xr:uid="{00000000-0005-0000-0000-000001000000}"/>
    <cellStyle name="Normal" xfId="0" builtinId="0"/>
    <cellStyle name="Normal 2" xfId="3" xr:uid="{00000000-0005-0000-0000-000003000000}"/>
    <cellStyle name="Percent 2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1SS_Sl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Work/BFC3540%20S1_2018/Slave%20SS%20-%20No%20Code/W3SS_Slav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Set 1 - Task 1"/>
      <sheetName val="Set 2 - Task 1"/>
      <sheetName val="Set 3 - Task 1"/>
      <sheetName val="Set 1 - Task 2"/>
      <sheetName val="Set 2 - Task 2"/>
      <sheetName val="Set 3 - Task 2"/>
      <sheetName val="Set 1 - Task 3"/>
      <sheetName val="Set 2 - Task 3"/>
      <sheetName val="Set 3 - Task 3"/>
      <sheetName val="Set 1 - Task 4"/>
      <sheetName val="Set 2 - Task 4"/>
      <sheetName val="Set 3 - Task 4"/>
      <sheetName val="Task 5"/>
      <sheetName val="CustomVariables"/>
    </sheetNames>
    <sheetDataSet>
      <sheetData sheetId="0"/>
      <sheetData sheetId="1">
        <row r="5">
          <cell r="C5" t="str">
            <v>PLS</v>
          </cell>
        </row>
        <row r="6">
          <cell r="C6">
            <v>0.21205871888971681</v>
          </cell>
          <cell r="D6">
            <v>1.8182319083190547E-2</v>
          </cell>
        </row>
        <row r="7">
          <cell r="C7">
            <v>2.5158559636154931E-2</v>
          </cell>
          <cell r="D7">
            <v>-3.0490166757787276E-2</v>
          </cell>
        </row>
        <row r="8">
          <cell r="C8">
            <v>-7.0769070888207261E-2</v>
          </cell>
          <cell r="D8">
            <v>-1.2461220437812002E-2</v>
          </cell>
        </row>
        <row r="9">
          <cell r="C9">
            <v>3.9220713153281329E-2</v>
          </cell>
          <cell r="D9">
            <v>8.1247672272879781E-2</v>
          </cell>
        </row>
        <row r="10">
          <cell r="C10">
            <v>8.0042707673536356E-2</v>
          </cell>
          <cell r="D10">
            <v>4.2439183275156722E-2</v>
          </cell>
        </row>
        <row r="11">
          <cell r="C11">
            <v>0.1931112642153347</v>
          </cell>
          <cell r="D11">
            <v>-7.1766798369676685E-2</v>
          </cell>
        </row>
        <row r="12">
          <cell r="C12">
            <v>-0.10265415406008321</v>
          </cell>
          <cell r="D12">
            <v>-1.8018505502678365E-2</v>
          </cell>
        </row>
        <row r="13">
          <cell r="C13">
            <v>5.2643733485421881E-2</v>
          </cell>
          <cell r="D13">
            <v>3.5718082602079246E-2</v>
          </cell>
        </row>
        <row r="14">
          <cell r="C14">
            <v>5.4876610225834302E-2</v>
          </cell>
          <cell r="D14">
            <v>-6.3369613932589261E-2</v>
          </cell>
        </row>
        <row r="15">
          <cell r="C15">
            <v>-8.0852096629095024E-2</v>
          </cell>
          <cell r="D15">
            <v>3.1104224143925518E-3</v>
          </cell>
        </row>
      </sheetData>
      <sheetData sheetId="2">
        <row r="5">
          <cell r="C5" t="str">
            <v>AMP</v>
          </cell>
        </row>
        <row r="6">
          <cell r="C6">
            <v>-8.3160562416575053E-3</v>
          </cell>
          <cell r="D6">
            <v>-1.4750809758148253E-2</v>
          </cell>
        </row>
        <row r="7">
          <cell r="C7">
            <v>5.0875670660453405E-2</v>
          </cell>
          <cell r="D7">
            <v>1.8190194060057709E-2</v>
          </cell>
        </row>
        <row r="8">
          <cell r="C8">
            <v>7.9051795071132473E-3</v>
          </cell>
          <cell r="D8">
            <v>2.2072203355499215E-2</v>
          </cell>
        </row>
        <row r="9">
          <cell r="C9">
            <v>-2.390552085355448E-2</v>
          </cell>
          <cell r="D9">
            <v>8.3612527246834031E-3</v>
          </cell>
        </row>
        <row r="10">
          <cell r="C10">
            <v>1.798250255043227E-2</v>
          </cell>
          <cell r="D10">
            <v>-7.6994347269455921E-2</v>
          </cell>
        </row>
        <row r="11">
          <cell r="C11">
            <v>2.3484445233069327E-2</v>
          </cell>
          <cell r="D11">
            <v>-1.8001805041478545E-3</v>
          </cell>
        </row>
        <row r="12">
          <cell r="C12">
            <v>-7.7670293376596589E-3</v>
          </cell>
          <cell r="D12">
            <v>-9.0130695601277572E-4</v>
          </cell>
        </row>
        <row r="13">
          <cell r="C13">
            <v>0</v>
          </cell>
          <cell r="D13">
            <v>1.6100526689409138E-2</v>
          </cell>
        </row>
        <row r="14">
          <cell r="C14">
            <v>5.8309203107931437E-3</v>
          </cell>
          <cell r="D14">
            <v>5.1027065517894481E-2</v>
          </cell>
        </row>
        <row r="15">
          <cell r="C15">
            <v>1.347469858336019E-2</v>
          </cell>
          <cell r="D15">
            <v>-3.1694301708914976E-2</v>
          </cell>
        </row>
      </sheetData>
      <sheetData sheetId="3">
        <row r="5">
          <cell r="C5" t="str">
            <v>LLC</v>
          </cell>
        </row>
        <row r="6">
          <cell r="C6">
            <v>2.1529896524668985E-2</v>
          </cell>
          <cell r="D6">
            <v>-1.0230268250814922E-2</v>
          </cell>
        </row>
        <row r="7">
          <cell r="C7">
            <v>1.1403925146579941E-2</v>
          </cell>
          <cell r="D7">
            <v>1.2771565679487539E-2</v>
          </cell>
        </row>
        <row r="8">
          <cell r="C8">
            <v>-0.10045297094695781</v>
          </cell>
          <cell r="D8">
            <v>2.2585652648749288E-2</v>
          </cell>
        </row>
        <row r="9">
          <cell r="C9">
            <v>-4.1878613404747406E-3</v>
          </cell>
          <cell r="D9">
            <v>0</v>
          </cell>
        </row>
        <row r="10">
          <cell r="C10">
            <v>-1.8149379555740097E-2</v>
          </cell>
          <cell r="D10">
            <v>0</v>
          </cell>
        </row>
        <row r="11">
          <cell r="C11">
            <v>1.2136132332288337E-2</v>
          </cell>
          <cell r="D11">
            <v>3.8934357975454685E-2</v>
          </cell>
        </row>
        <row r="12">
          <cell r="C12">
            <v>-2.0719814973616985E-2</v>
          </cell>
          <cell r="D12">
            <v>-1.4423326961105052E-2</v>
          </cell>
        </row>
        <row r="13">
          <cell r="C13">
            <v>-1.176854746280483E-2</v>
          </cell>
          <cell r="D13">
            <v>1.4423326961105125E-2</v>
          </cell>
        </row>
        <row r="14">
          <cell r="C14">
            <v>-6.8771139086579759E-3</v>
          </cell>
          <cell r="D14">
            <v>9.5012591241402152E-3</v>
          </cell>
        </row>
        <row r="15">
          <cell r="C15">
            <v>9.9875986283484118E-3</v>
          </cell>
          <cell r="D15">
            <v>-2.3668650102662793E-3</v>
          </cell>
        </row>
      </sheetData>
      <sheetData sheetId="4"/>
      <sheetData sheetId="5"/>
      <sheetData sheetId="6"/>
      <sheetData sheetId="7">
        <row r="14">
          <cell r="C14">
            <v>0.5</v>
          </cell>
        </row>
        <row r="19">
          <cell r="C19">
            <v>0</v>
          </cell>
        </row>
      </sheetData>
      <sheetData sheetId="8">
        <row r="14">
          <cell r="C14">
            <v>0.5</v>
          </cell>
        </row>
        <row r="19">
          <cell r="C19">
            <v>0</v>
          </cell>
        </row>
      </sheetData>
      <sheetData sheetId="9">
        <row r="14">
          <cell r="C14">
            <v>0.5</v>
          </cell>
        </row>
        <row r="19">
          <cell r="C19">
            <v>0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"/>
      <sheetName val="VarCov"/>
      <sheetName val="CustomVariables"/>
    </sheetNames>
    <sheetDataSet>
      <sheetData sheetId="0"/>
      <sheetData sheetId="1">
        <row r="5">
          <cell r="C5" t="str">
            <v>PLS</v>
          </cell>
          <cell r="D5" t="str">
            <v>S32</v>
          </cell>
          <cell r="E5" t="str">
            <v>AMP</v>
          </cell>
          <cell r="F5" t="str">
            <v>BEN</v>
          </cell>
          <cell r="G5" t="str">
            <v>LLC</v>
          </cell>
          <cell r="H5" t="str">
            <v>SCG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F3"/>
  <sheetViews>
    <sheetView zoomScale="86" zoomScaleNormal="50" workbookViewId="0">
      <selection activeCell="W11" sqref="W11"/>
    </sheetView>
  </sheetViews>
  <sheetFormatPr baseColWidth="10" defaultColWidth="8.83203125" defaultRowHeight="15" x14ac:dyDescent="0.2"/>
  <cols>
    <col min="1" max="1" width="10.5" bestFit="1" customWidth="1"/>
  </cols>
  <sheetData>
    <row r="1" spans="1:6" ht="16" x14ac:dyDescent="0.2">
      <c r="A1" s="25" t="s">
        <v>25</v>
      </c>
      <c r="B1" s="25" t="s">
        <v>62</v>
      </c>
      <c r="C1" s="25"/>
      <c r="D1" s="25"/>
      <c r="E1" s="25"/>
      <c r="F1" s="25"/>
    </row>
    <row r="2" spans="1:6" ht="16" x14ac:dyDescent="0.2">
      <c r="A2" s="25" t="s">
        <v>29</v>
      </c>
      <c r="B2" s="25" t="s">
        <v>63</v>
      </c>
      <c r="C2" s="25"/>
      <c r="D2" s="25"/>
      <c r="E2" s="25"/>
      <c r="F2" s="25"/>
    </row>
    <row r="3" spans="1:6" x14ac:dyDescent="0.2">
      <c r="A3" t="s">
        <v>40</v>
      </c>
      <c r="B3" t="s">
        <v>42</v>
      </c>
    </row>
  </sheetData>
  <sheetProtection algorithmName="SHA-512" hashValue="55jsn1fE+WLGKz7VFlIFB/uDYpzSPW7P/KwNuvERffOdQqMsYASxLLvM5AgJFaPsL3RSuS9f1bvlcxfU8XQ46Q==" saltValue="13YF0VTgnFypngXOqal62Q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O10:Y75"/>
  <sheetViews>
    <sheetView topLeftCell="G16" zoomScale="140" zoomScaleNormal="50" workbookViewId="0">
      <selection activeCell="K37" sqref="K37"/>
    </sheetView>
  </sheetViews>
  <sheetFormatPr baseColWidth="10" defaultColWidth="8.83203125" defaultRowHeight="15" x14ac:dyDescent="0.2"/>
  <cols>
    <col min="15" max="15" width="10.5" customWidth="1"/>
    <col min="22" max="22" width="11.5" customWidth="1"/>
  </cols>
  <sheetData>
    <row r="10" spans="15:25" ht="24" x14ac:dyDescent="0.3">
      <c r="O10" s="26" t="s">
        <v>27</v>
      </c>
    </row>
    <row r="12" spans="15:25" x14ac:dyDescent="0.2">
      <c r="O12" s="1" t="s">
        <v>21</v>
      </c>
    </row>
    <row r="13" spans="15:25" x14ac:dyDescent="0.2">
      <c r="O13" t="s">
        <v>18</v>
      </c>
    </row>
    <row r="14" spans="15:25" x14ac:dyDescent="0.2">
      <c r="O14" t="s">
        <v>19</v>
      </c>
    </row>
    <row r="15" spans="15:25" x14ac:dyDescent="0.2">
      <c r="O15" t="s">
        <v>20</v>
      </c>
      <c r="Y15" s="8"/>
    </row>
    <row r="16" spans="15:25" x14ac:dyDescent="0.2">
      <c r="Y16" s="8"/>
    </row>
    <row r="17" spans="15:25" x14ac:dyDescent="0.2">
      <c r="Y17" s="8"/>
    </row>
    <row r="18" spans="15:25" x14ac:dyDescent="0.2">
      <c r="O18" s="1" t="s">
        <v>5</v>
      </c>
      <c r="Y18" s="8"/>
    </row>
    <row r="19" spans="15:25" x14ac:dyDescent="0.2">
      <c r="O19" s="1" t="s">
        <v>41</v>
      </c>
      <c r="Y19" s="8"/>
    </row>
    <row r="20" spans="15:25" x14ac:dyDescent="0.2">
      <c r="O20" s="1" t="s">
        <v>3</v>
      </c>
      <c r="Y20" s="8"/>
    </row>
    <row r="21" spans="15:25" x14ac:dyDescent="0.2">
      <c r="O21" s="1" t="s">
        <v>6</v>
      </c>
      <c r="Y21" s="8"/>
    </row>
    <row r="22" spans="15:25" x14ac:dyDescent="0.2">
      <c r="Y22" s="8"/>
    </row>
    <row r="23" spans="15:25" x14ac:dyDescent="0.2">
      <c r="O23" s="2"/>
      <c r="P23" s="3" t="s">
        <v>30</v>
      </c>
      <c r="Q23" s="4"/>
      <c r="R23" s="4"/>
      <c r="S23" s="4"/>
      <c r="T23" s="4"/>
      <c r="U23" s="4"/>
      <c r="Y23" s="8"/>
    </row>
    <row r="24" spans="15:25" x14ac:dyDescent="0.2">
      <c r="O24" s="5"/>
      <c r="P24" s="37" t="s">
        <v>43</v>
      </c>
      <c r="Q24" s="1" t="s">
        <v>44</v>
      </c>
      <c r="R24" s="1" t="s">
        <v>45</v>
      </c>
      <c r="S24" s="1" t="s">
        <v>46</v>
      </c>
      <c r="T24" s="1" t="s">
        <v>47</v>
      </c>
      <c r="U24" s="1" t="s">
        <v>48</v>
      </c>
    </row>
    <row r="25" spans="15:25" x14ac:dyDescent="0.2">
      <c r="O25" s="33">
        <v>45019</v>
      </c>
      <c r="P25" s="8">
        <v>-2.5105921131076358E-2</v>
      </c>
      <c r="Q25" s="8">
        <v>6.3794196577713888E-2</v>
      </c>
      <c r="R25" s="8">
        <v>5.6497325421191276E-3</v>
      </c>
      <c r="S25" s="8">
        <v>9.3023926623136306E-3</v>
      </c>
      <c r="T25" s="8">
        <v>3.9220713153281329E-2</v>
      </c>
      <c r="U25" s="8">
        <v>-8.7472950965052865E-2</v>
      </c>
      <c r="V25" s="8"/>
      <c r="W25" s="8"/>
      <c r="X25" s="8"/>
    </row>
    <row r="26" spans="15:25" x14ac:dyDescent="0.2">
      <c r="O26" s="33">
        <v>45026</v>
      </c>
      <c r="P26" s="8">
        <v>3.3336420267591926E-2</v>
      </c>
      <c r="Q26" s="8">
        <v>9.6332719771033033E-3</v>
      </c>
      <c r="R26" s="8">
        <v>-5.6497325421190209E-3</v>
      </c>
      <c r="S26" s="8">
        <v>4.5256591588120648E-2</v>
      </c>
      <c r="T26" s="8">
        <v>-1.9418085857101627E-2</v>
      </c>
      <c r="U26" s="8">
        <v>3.8048067637529964E-2</v>
      </c>
      <c r="V26" s="8"/>
      <c r="W26" s="8"/>
      <c r="X26" s="8"/>
    </row>
    <row r="27" spans="15:25" x14ac:dyDescent="0.2">
      <c r="O27" s="33">
        <v>45033</v>
      </c>
      <c r="P27" s="8">
        <v>2.4292692569044483E-2</v>
      </c>
      <c r="Q27" s="8">
        <v>-2.0865138463961787E-2</v>
      </c>
      <c r="R27" s="8">
        <v>4.9734005674138382E-2</v>
      </c>
      <c r="S27" s="8">
        <v>-3.6039936483196693E-2</v>
      </c>
      <c r="T27" s="8">
        <v>-4.0005334613699248E-2</v>
      </c>
      <c r="U27" s="8">
        <v>6.9526062648610096E-2</v>
      </c>
      <c r="V27" s="8"/>
      <c r="W27" s="8"/>
      <c r="X27" s="8"/>
    </row>
    <row r="28" spans="15:25" x14ac:dyDescent="0.2">
      <c r="O28" s="33">
        <v>45040</v>
      </c>
      <c r="P28" s="8">
        <v>-2.4292692569044587E-2</v>
      </c>
      <c r="Q28" s="8">
        <v>-1.5939616412157187E-2</v>
      </c>
      <c r="R28" s="8">
        <v>-4.9734005674138444E-2</v>
      </c>
      <c r="S28" s="8">
        <v>5.7922647732704509E-2</v>
      </c>
      <c r="T28" s="8">
        <v>2.0202707317519469E-2</v>
      </c>
      <c r="U28" s="8">
        <v>5.3281366612936781E-2</v>
      </c>
      <c r="V28" s="8"/>
      <c r="W28" s="8"/>
      <c r="X28" s="8"/>
    </row>
    <row r="29" spans="15:25" x14ac:dyDescent="0.2">
      <c r="O29" s="33">
        <v>45047</v>
      </c>
      <c r="P29" s="8">
        <v>-3.3336420267591836E-2</v>
      </c>
      <c r="Q29" s="8">
        <v>7.6564238228592013E-2</v>
      </c>
      <c r="R29" s="8">
        <v>5.6497325421191276E-3</v>
      </c>
      <c r="S29" s="8">
        <v>4.3196611445163796E-3</v>
      </c>
      <c r="T29" s="8">
        <v>-0.12783337150988489</v>
      </c>
      <c r="U29" s="8">
        <v>3.7041271680349076E-2</v>
      </c>
      <c r="V29" s="8"/>
      <c r="W29" s="8"/>
      <c r="X29" s="8"/>
    </row>
    <row r="30" spans="15:25" x14ac:dyDescent="0.2">
      <c r="O30" s="33">
        <v>45054</v>
      </c>
      <c r="P30" s="8">
        <v>-2.575249610241474E-2</v>
      </c>
      <c r="Q30" s="8">
        <v>9.1711401191070831E-3</v>
      </c>
      <c r="R30" s="8">
        <v>-1.4184634991956413E-2</v>
      </c>
      <c r="S30" s="8">
        <v>4.3010818993907017E-3</v>
      </c>
      <c r="T30" s="8">
        <v>0</v>
      </c>
      <c r="U30" s="8">
        <v>8.2836005579149177E-2</v>
      </c>
      <c r="V30" s="8"/>
      <c r="W30" s="8"/>
      <c r="X30" s="8"/>
    </row>
    <row r="31" spans="15:25" x14ac:dyDescent="0.2">
      <c r="O31" s="33">
        <v>45061</v>
      </c>
      <c r="P31" s="8">
        <v>-3.0907537463076548E-2</v>
      </c>
      <c r="Q31" s="8">
        <v>2.9749686171060698E-2</v>
      </c>
      <c r="R31" s="8">
        <v>1.1363758650315003E-2</v>
      </c>
      <c r="S31" s="8">
        <v>0</v>
      </c>
      <c r="T31" s="8">
        <v>-4.6520015634892928E-2</v>
      </c>
      <c r="U31" s="8">
        <v>4.2995363260062668E-2</v>
      </c>
      <c r="V31" s="8"/>
      <c r="W31" s="8"/>
      <c r="X31" s="8"/>
    </row>
    <row r="32" spans="15:25" x14ac:dyDescent="0.2">
      <c r="O32" s="33">
        <v>45068</v>
      </c>
      <c r="P32" s="8">
        <v>-4.1195756438267166E-2</v>
      </c>
      <c r="Q32" s="8">
        <v>-3.2562627547675388E-2</v>
      </c>
      <c r="R32" s="8">
        <v>-8.8553397341445059E-2</v>
      </c>
      <c r="S32" s="8">
        <v>-2.1692824611259896E-2</v>
      </c>
      <c r="T32" s="8">
        <v>4.6520015634892907E-2</v>
      </c>
      <c r="U32" s="8">
        <v>-9.4508897710170653E-2</v>
      </c>
      <c r="V32" s="8"/>
      <c r="W32" s="8"/>
      <c r="X32" s="8"/>
    </row>
    <row r="33" spans="15:24" x14ac:dyDescent="0.2">
      <c r="O33" s="33">
        <v>45075</v>
      </c>
      <c r="P33" s="8">
        <v>-2.3641763057040653E-2</v>
      </c>
      <c r="Q33" s="8">
        <v>5.4141347507291326E-2</v>
      </c>
      <c r="R33" s="8">
        <v>3.0816665374081144E-3</v>
      </c>
      <c r="S33" s="8">
        <v>8.7336799687546315E-3</v>
      </c>
      <c r="T33" s="8">
        <v>0</v>
      </c>
      <c r="U33" s="8">
        <v>-1.5538603427779161E-2</v>
      </c>
      <c r="V33" s="8"/>
      <c r="W33" s="8"/>
      <c r="X33" s="8"/>
    </row>
    <row r="34" spans="15:24" x14ac:dyDescent="0.2">
      <c r="O34" s="33">
        <v>45082</v>
      </c>
      <c r="P34" s="8">
        <v>-2.9128272923023713E-2</v>
      </c>
      <c r="Q34" s="8">
        <v>-1.9535818329815782E-2</v>
      </c>
      <c r="R34" s="8">
        <v>2.7315810646962924E-2</v>
      </c>
      <c r="S34" s="8">
        <v>-8.7336799687546662E-3</v>
      </c>
      <c r="T34" s="8">
        <v>-0.2876820724517809</v>
      </c>
      <c r="U34" s="8">
        <v>6.0756209421072432E-2</v>
      </c>
      <c r="V34" s="8"/>
      <c r="W34" s="8"/>
      <c r="X34" s="8"/>
    </row>
    <row r="35" spans="15:24" x14ac:dyDescent="0.2">
      <c r="O35" s="7"/>
      <c r="P35" s="8"/>
      <c r="Q35" s="8"/>
      <c r="R35" s="8"/>
      <c r="S35" s="8"/>
      <c r="T35" s="8"/>
      <c r="U35" s="8"/>
    </row>
    <row r="36" spans="15:24" x14ac:dyDescent="0.2">
      <c r="O36" s="7"/>
      <c r="P36" s="8"/>
      <c r="Q36" s="8" t="s">
        <v>49</v>
      </c>
      <c r="R36" s="9" t="s">
        <v>50</v>
      </c>
      <c r="S36" s="8"/>
      <c r="T36" s="8"/>
      <c r="U36" s="8"/>
    </row>
    <row r="37" spans="15:24" x14ac:dyDescent="0.2">
      <c r="O37" s="7"/>
      <c r="P37" s="8"/>
      <c r="Q37" s="8" t="s">
        <v>51</v>
      </c>
      <c r="R37" s="9" t="s">
        <v>52</v>
      </c>
      <c r="S37" s="8"/>
      <c r="T37" s="8"/>
      <c r="U37" s="8"/>
    </row>
    <row r="38" spans="15:24" x14ac:dyDescent="0.2">
      <c r="O38" s="7"/>
      <c r="P38" s="8"/>
      <c r="Q38" s="8" t="s">
        <v>53</v>
      </c>
      <c r="R38" s="38" t="s">
        <v>54</v>
      </c>
      <c r="S38" s="8"/>
      <c r="T38" s="8"/>
      <c r="U38" s="8"/>
    </row>
    <row r="39" spans="15:24" x14ac:dyDescent="0.2">
      <c r="O39" s="7"/>
      <c r="P39" s="8"/>
      <c r="Q39" s="8" t="s">
        <v>55</v>
      </c>
      <c r="R39" s="9" t="s">
        <v>56</v>
      </c>
      <c r="S39" s="8"/>
      <c r="T39" s="8"/>
      <c r="U39" s="8"/>
    </row>
    <row r="40" spans="15:24" x14ac:dyDescent="0.2">
      <c r="O40" s="7"/>
      <c r="P40" s="8"/>
      <c r="Q40" s="8" t="s">
        <v>57</v>
      </c>
      <c r="R40" s="9" t="s">
        <v>58</v>
      </c>
      <c r="S40" s="8"/>
      <c r="T40" s="8"/>
      <c r="U40" s="8"/>
    </row>
    <row r="41" spans="15:24" x14ac:dyDescent="0.2">
      <c r="O41" s="10"/>
      <c r="P41" s="8"/>
      <c r="Q41" s="8" t="s">
        <v>59</v>
      </c>
      <c r="R41" s="9" t="s">
        <v>60</v>
      </c>
      <c r="S41" s="8"/>
      <c r="T41" s="8"/>
      <c r="U41" s="8"/>
    </row>
    <row r="43" spans="15:24" x14ac:dyDescent="0.2">
      <c r="O43" s="1" t="s">
        <v>4</v>
      </c>
      <c r="P43" s="29">
        <f>AVERAGE(P25:P34)</f>
        <v>-1.7573174711489923E-2</v>
      </c>
      <c r="Q43" s="29">
        <f t="shared" ref="Q43:T43" si="0">AVERAGE(Q25:Q34)</f>
        <v>1.5415067982725817E-2</v>
      </c>
      <c r="R43" s="29">
        <f t="shared" si="0"/>
        <v>-5.5327063956596258E-3</v>
      </c>
      <c r="S43" s="29">
        <f t="shared" si="0"/>
        <v>6.3369613932589232E-3</v>
      </c>
      <c r="T43" s="29">
        <f t="shared" si="0"/>
        <v>-4.1551544396166581E-2</v>
      </c>
      <c r="U43" s="29">
        <f>AVERAGE(U25:U34)</f>
        <v>1.8696389473670756E-2</v>
      </c>
    </row>
    <row r="44" spans="15:24" x14ac:dyDescent="0.2">
      <c r="O44" s="1" t="s">
        <v>4</v>
      </c>
      <c r="P44" s="24">
        <v>-1.7573174711489923E-2</v>
      </c>
      <c r="Q44" s="24">
        <v>1.5415067982725817E-2</v>
      </c>
      <c r="R44" s="24">
        <v>-5.5327063956596258E-3</v>
      </c>
      <c r="S44" s="24">
        <v>6.3369613932589232E-3</v>
      </c>
      <c r="T44" s="24">
        <v>-4.1551544396166581E-2</v>
      </c>
      <c r="U44" s="24">
        <v>1.8696389473670756E-2</v>
      </c>
    </row>
    <row r="45" spans="15:24" x14ac:dyDescent="0.2">
      <c r="O45" s="1" t="s">
        <v>4</v>
      </c>
      <c r="P45" s="39" cm="1">
        <f t="array" ref="P45">avfun(P25:P34)</f>
        <v>-1.7573174711489923E-2</v>
      </c>
      <c r="Q45" s="39" cm="1">
        <f t="array" ref="Q45">avfun(Q25:Q34)</f>
        <v>1.5415067982725817E-2</v>
      </c>
      <c r="R45" s="39" cm="1">
        <f t="array" ref="R45">avfun(R25:R34)</f>
        <v>-5.5327063956596258E-3</v>
      </c>
      <c r="S45" s="39" cm="1">
        <f t="array" ref="S45">avfun(S25:S34)</f>
        <v>6.3369613932589232E-3</v>
      </c>
      <c r="T45" s="39" cm="1">
        <f t="array" ref="T45">avfun(T25:T34)</f>
        <v>-4.1551544396166581E-2</v>
      </c>
      <c r="U45" s="39" cm="1">
        <f t="array" ref="U45">avfun(U25:U34)</f>
        <v>1.8696389473670756E-2</v>
      </c>
    </row>
    <row r="47" spans="15:24" x14ac:dyDescent="0.2">
      <c r="O47" s="1" t="s">
        <v>7</v>
      </c>
      <c r="P47" s="28">
        <f>STDEV(P25:P34)</f>
        <v>2.5095357601752181E-2</v>
      </c>
      <c r="Q47" s="28">
        <f t="shared" ref="Q47:U47" si="1">STDEV(Q25:Q34)</f>
        <v>3.8987428523339036E-2</v>
      </c>
      <c r="R47" s="28">
        <f t="shared" si="1"/>
        <v>3.8964778846136847E-2</v>
      </c>
      <c r="S47" s="28">
        <f t="shared" si="1"/>
        <v>2.7982781780583804E-2</v>
      </c>
      <c r="T47" s="28">
        <f t="shared" si="1"/>
        <v>0.10004952304463383</v>
      </c>
      <c r="U47" s="28">
        <f t="shared" si="1"/>
        <v>6.3441624996263629E-2</v>
      </c>
    </row>
    <row r="48" spans="15:24" x14ac:dyDescent="0.2">
      <c r="O48" s="1" t="s">
        <v>7</v>
      </c>
      <c r="P48" s="11">
        <v>2.5095357601752181E-2</v>
      </c>
      <c r="Q48" s="11">
        <v>3.8987428523339036E-2</v>
      </c>
      <c r="R48" s="11">
        <v>3.8964778846136847E-2</v>
      </c>
      <c r="S48" s="11">
        <v>2.7982781780583804E-2</v>
      </c>
      <c r="T48" s="11">
        <v>0.10004952304463383</v>
      </c>
      <c r="U48" s="11">
        <v>6.3441624996263629E-2</v>
      </c>
    </row>
    <row r="49" spans="15:23" x14ac:dyDescent="0.2">
      <c r="O49" s="1" t="s">
        <v>7</v>
      </c>
      <c r="P49" s="40" cm="1">
        <f t="array" ref="P49">STD(P25:P34)</f>
        <v>2.5095357601752181E-2</v>
      </c>
      <c r="Q49" s="40" cm="1">
        <f t="array" ref="Q49">STD(Q25:Q34)</f>
        <v>3.8987428523339036E-2</v>
      </c>
      <c r="R49" s="40" cm="1">
        <f t="array" ref="R49">STD(R25:R34)</f>
        <v>3.8964778846136847E-2</v>
      </c>
      <c r="S49" s="40" cm="1">
        <f t="array" ref="S49">STD(S25:S34)</f>
        <v>2.7982781780583804E-2</v>
      </c>
      <c r="T49" s="40" cm="1">
        <f t="array" ref="T49">STD(T25:T34)</f>
        <v>0.10004952304463383</v>
      </c>
      <c r="U49" s="40" cm="1">
        <f t="array" ref="U49">STD(U25:U34)</f>
        <v>6.3441624996263629E-2</v>
      </c>
    </row>
    <row r="52" spans="15:23" x14ac:dyDescent="0.2">
      <c r="Q52" s="1" t="s">
        <v>9</v>
      </c>
    </row>
    <row r="53" spans="15:23" ht="16" thickBot="1" x14ac:dyDescent="0.25"/>
    <row r="54" spans="15:23" ht="16" thickBot="1" x14ac:dyDescent="0.25">
      <c r="O54" s="57"/>
      <c r="P54" s="58" t="s">
        <v>43</v>
      </c>
      <c r="Q54" s="58" t="s">
        <v>44</v>
      </c>
      <c r="R54" s="58" t="s">
        <v>45</v>
      </c>
      <c r="S54" s="58" t="s">
        <v>46</v>
      </c>
      <c r="T54" s="58" t="s">
        <v>47</v>
      </c>
      <c r="U54" s="58" t="s">
        <v>48</v>
      </c>
      <c r="V54" s="47" t="s">
        <v>8</v>
      </c>
    </row>
    <row r="55" spans="15:23" x14ac:dyDescent="0.2">
      <c r="O55" s="59">
        <v>45012</v>
      </c>
      <c r="P55" s="60">
        <v>4.6520015634892907E-2</v>
      </c>
      <c r="Q55" s="61">
        <v>-1.7309637535091731E-2</v>
      </c>
      <c r="R55" s="61">
        <v>-2.793477733155407E-2</v>
      </c>
      <c r="S55" s="61">
        <v>3.8099846232270383E-2</v>
      </c>
      <c r="T55" s="61">
        <v>0.10536051565782635</v>
      </c>
      <c r="U55" s="61">
        <v>0.1014201784459033</v>
      </c>
      <c r="V55" s="50">
        <v>3.2488781788282267E-2</v>
      </c>
      <c r="W55" s="22"/>
    </row>
    <row r="56" spans="15:23" x14ac:dyDescent="0.2">
      <c r="O56" s="59">
        <v>45019</v>
      </c>
      <c r="P56" s="2">
        <v>-2.5105921131076358E-2</v>
      </c>
      <c r="Q56">
        <v>6.3794196577713888E-2</v>
      </c>
      <c r="R56">
        <v>5.6497325421191276E-3</v>
      </c>
      <c r="S56">
        <v>9.3023926623136306E-3</v>
      </c>
      <c r="T56">
        <v>3.9220713153281329E-2</v>
      </c>
      <c r="U56">
        <v>-8.7472950965052865E-2</v>
      </c>
      <c r="V56" s="53">
        <v>5.2349412429678393E-3</v>
      </c>
    </row>
    <row r="57" spans="15:23" x14ac:dyDescent="0.2">
      <c r="O57" s="59">
        <v>45026</v>
      </c>
      <c r="P57" s="2">
        <v>3.3336420267591926E-2</v>
      </c>
      <c r="Q57">
        <v>9.6332719771033033E-3</v>
      </c>
      <c r="R57">
        <v>-5.6497325421190209E-3</v>
      </c>
      <c r="S57">
        <v>4.5256591588120648E-2</v>
      </c>
      <c r="T57">
        <v>-1.9418085857101627E-2</v>
      </c>
      <c r="U57">
        <v>3.8048067637529964E-2</v>
      </c>
      <c r="V57" s="53">
        <v>1.9823790421550788E-2</v>
      </c>
    </row>
    <row r="58" spans="15:23" x14ac:dyDescent="0.2">
      <c r="O58" s="59">
        <v>45033</v>
      </c>
      <c r="P58" s="2">
        <v>2.4292692569044483E-2</v>
      </c>
      <c r="Q58">
        <v>-2.0865138463961787E-2</v>
      </c>
      <c r="R58">
        <v>4.9734005674138382E-2</v>
      </c>
      <c r="S58">
        <v>-3.6039936483196693E-2</v>
      </c>
      <c r="T58">
        <v>-4.0005334613699248E-2</v>
      </c>
      <c r="U58">
        <v>6.9526062648610096E-2</v>
      </c>
      <c r="V58" s="53">
        <v>-4.9591042665796609E-3</v>
      </c>
    </row>
    <row r="59" spans="15:23" x14ac:dyDescent="0.2">
      <c r="O59" s="59">
        <v>45040</v>
      </c>
      <c r="P59" s="2">
        <v>-2.4292692569044587E-2</v>
      </c>
      <c r="Q59">
        <v>-1.5939616412157187E-2</v>
      </c>
      <c r="R59">
        <v>-4.9734005674138444E-2</v>
      </c>
      <c r="S59">
        <v>5.7922647732704509E-2</v>
      </c>
      <c r="T59">
        <v>2.0202707317519469E-2</v>
      </c>
      <c r="U59">
        <v>5.3281366612936781E-2</v>
      </c>
      <c r="V59" s="53">
        <v>-2.91531812365704E-3</v>
      </c>
    </row>
    <row r="60" spans="15:23" x14ac:dyDescent="0.2">
      <c r="O60" s="59">
        <v>45047</v>
      </c>
      <c r="P60" s="2">
        <v>-3.3336420267591836E-2</v>
      </c>
      <c r="Q60">
        <v>7.6564238228592013E-2</v>
      </c>
      <c r="R60">
        <v>5.6497325421191276E-3</v>
      </c>
      <c r="S60">
        <v>4.3196611445163796E-3</v>
      </c>
      <c r="T60">
        <v>-0.12783337150988489</v>
      </c>
      <c r="U60">
        <v>3.7041271680349076E-2</v>
      </c>
      <c r="V60" s="53">
        <v>-1.1800971055641882E-2</v>
      </c>
    </row>
    <row r="61" spans="15:23" x14ac:dyDescent="0.2">
      <c r="O61" s="59">
        <v>45054</v>
      </c>
      <c r="P61" s="2">
        <v>-2.575249610241474E-2</v>
      </c>
      <c r="Q61">
        <v>9.1711401191070831E-3</v>
      </c>
      <c r="R61">
        <v>-1.4184634991956413E-2</v>
      </c>
      <c r="S61">
        <v>4.3010818993907017E-3</v>
      </c>
      <c r="T61">
        <v>0</v>
      </c>
      <c r="U61">
        <v>8.2836005579149177E-2</v>
      </c>
      <c r="V61" s="53">
        <v>5.394764972335017E-3</v>
      </c>
    </row>
    <row r="62" spans="15:23" x14ac:dyDescent="0.2">
      <c r="O62" s="59">
        <v>45061</v>
      </c>
      <c r="P62" s="2">
        <v>-3.0907537463076548E-2</v>
      </c>
      <c r="Q62">
        <v>2.9749686171060698E-2</v>
      </c>
      <c r="R62">
        <v>1.1363758650315003E-2</v>
      </c>
      <c r="S62">
        <v>0</v>
      </c>
      <c r="T62">
        <v>-4.6520015634892928E-2</v>
      </c>
      <c r="U62">
        <v>4.2995363260062668E-2</v>
      </c>
      <c r="V62" s="53">
        <v>2.4523118281902577E-3</v>
      </c>
    </row>
    <row r="63" spans="15:23" x14ac:dyDescent="0.2">
      <c r="O63" s="59">
        <v>45068</v>
      </c>
      <c r="P63" s="2">
        <v>-4.1195756438267166E-2</v>
      </c>
      <c r="Q63">
        <v>-3.2562627547675388E-2</v>
      </c>
      <c r="R63">
        <v>-8.8553397341445059E-2</v>
      </c>
      <c r="S63">
        <v>-2.1692824611259896E-2</v>
      </c>
      <c r="T63">
        <v>4.6520015634892907E-2</v>
      </c>
      <c r="U63">
        <v>-9.4508897710170653E-2</v>
      </c>
      <c r="V63" s="53">
        <v>-1.8506539253630272E-2</v>
      </c>
    </row>
    <row r="64" spans="15:23" x14ac:dyDescent="0.2">
      <c r="O64" s="59">
        <v>45075</v>
      </c>
      <c r="P64" s="2">
        <v>-2.3641763057040653E-2</v>
      </c>
      <c r="Q64">
        <v>5.4141347507291326E-2</v>
      </c>
      <c r="R64">
        <v>3.0816665374081144E-3</v>
      </c>
      <c r="S64">
        <v>8.7336799687546315E-3</v>
      </c>
      <c r="T64">
        <v>0</v>
      </c>
      <c r="U64">
        <v>-1.5538603427779161E-2</v>
      </c>
      <c r="V64" s="53">
        <v>-4.5002966864117364E-4</v>
      </c>
    </row>
    <row r="65" spans="15:22" ht="16" thickBot="1" x14ac:dyDescent="0.25">
      <c r="O65" s="62">
        <v>45082</v>
      </c>
      <c r="P65" s="63">
        <v>-2.9128272923023713E-2</v>
      </c>
      <c r="Q65" s="64">
        <v>-1.9535818329815782E-2</v>
      </c>
      <c r="R65" s="64">
        <v>2.7315810646962924E-2</v>
      </c>
      <c r="S65" s="64">
        <v>-8.7336799687546662E-3</v>
      </c>
      <c r="T65" s="64">
        <v>-0.2876820724517809</v>
      </c>
      <c r="U65" s="64">
        <v>6.0756209421072432E-2</v>
      </c>
      <c r="V65" s="56">
        <v>-2.5813515204445832E-3</v>
      </c>
    </row>
    <row r="69" spans="15:22" x14ac:dyDescent="0.2">
      <c r="O69" s="1" t="s">
        <v>4</v>
      </c>
      <c r="P69" s="28">
        <f>AVERAGE(P55:P65)</f>
        <v>-1.1746521043636937E-2</v>
      </c>
      <c r="Q69" s="28">
        <f t="shared" ref="Q69:V69" si="2">AVERAGE(Q55:Q65)</f>
        <v>1.2440094753833312E-2</v>
      </c>
      <c r="R69" s="28">
        <f t="shared" si="2"/>
        <v>-7.5692582989227569E-3</v>
      </c>
      <c r="S69" s="28">
        <f t="shared" si="2"/>
        <v>9.2244963786236017E-3</v>
      </c>
      <c r="T69" s="28">
        <f t="shared" si="2"/>
        <v>-2.8195902573076324E-2</v>
      </c>
      <c r="U69" s="28">
        <f t="shared" si="2"/>
        <v>2.6216733925691894E-2</v>
      </c>
      <c r="V69" s="28">
        <f t="shared" si="2"/>
        <v>2.1982978513392323E-3</v>
      </c>
    </row>
    <row r="70" spans="15:22" x14ac:dyDescent="0.2">
      <c r="O70" s="1" t="s">
        <v>4</v>
      </c>
      <c r="P70" s="11">
        <v>-1.1746521043636937E-2</v>
      </c>
      <c r="Q70" s="11">
        <v>1.2440094753833312E-2</v>
      </c>
      <c r="R70" s="11">
        <v>-7.5692582989227569E-3</v>
      </c>
      <c r="S70" s="11">
        <v>9.2244963786236017E-3</v>
      </c>
      <c r="T70" s="11">
        <v>-2.8195902573076324E-2</v>
      </c>
      <c r="U70" s="11">
        <v>2.6216733925691894E-2</v>
      </c>
      <c r="V70" s="11">
        <v>2.1982978513392323E-3</v>
      </c>
    </row>
    <row r="71" spans="15:22" x14ac:dyDescent="0.2">
      <c r="O71" s="1" t="s">
        <v>4</v>
      </c>
      <c r="P71" s="40" cm="1">
        <f t="array" ref="P71">avfun(P55:P65)</f>
        <v>-1.1746521043636937E-2</v>
      </c>
      <c r="Q71" s="40" cm="1">
        <f t="array" ref="Q71">avfun(Q55:Q65)</f>
        <v>1.2440094753833312E-2</v>
      </c>
      <c r="R71" s="40" cm="1">
        <f t="array" ref="R71">avfun(R55:R65)</f>
        <v>-7.5692582989227569E-3</v>
      </c>
      <c r="S71" s="40" cm="1">
        <f t="array" ref="S71">avfun(S55:S65)</f>
        <v>9.2244963786236017E-3</v>
      </c>
      <c r="T71" s="40" cm="1">
        <f t="array" ref="T71">avfun(T55:T65)</f>
        <v>-2.8195902573076324E-2</v>
      </c>
      <c r="U71" s="40" cm="1">
        <f t="array" ref="U71">avfun(U55:U65)</f>
        <v>2.6216733925691894E-2</v>
      </c>
      <c r="V71" s="40" cm="1">
        <f t="array" ref="V71">avfun(V55:V65)</f>
        <v>2.1982978513392323E-3</v>
      </c>
    </row>
    <row r="73" spans="15:22" x14ac:dyDescent="0.2">
      <c r="O73" s="1" t="s">
        <v>7</v>
      </c>
      <c r="P73" s="28">
        <f>STDEV(P55:P65)</f>
        <v>3.0663465206332924E-2</v>
      </c>
      <c r="Q73" s="28">
        <f t="shared" ref="Q73:V73" si="3">STDEV(Q55:Q65)</f>
        <v>3.8280187400470247E-2</v>
      </c>
      <c r="R73" s="28">
        <f t="shared" si="3"/>
        <v>3.7577274670697575E-2</v>
      </c>
      <c r="S73" s="28">
        <f t="shared" si="3"/>
        <v>2.8221426430472124E-2</v>
      </c>
      <c r="T73" s="28">
        <f t="shared" si="3"/>
        <v>0.10474264274347053</v>
      </c>
      <c r="U73" s="28">
        <f t="shared" si="3"/>
        <v>6.514957552737688E-2</v>
      </c>
      <c r="V73" s="28">
        <f t="shared" si="3"/>
        <v>1.4069756584183137E-2</v>
      </c>
    </row>
    <row r="74" spans="15:22" x14ac:dyDescent="0.2">
      <c r="O74" s="1" t="s">
        <v>7</v>
      </c>
      <c r="P74" s="11">
        <v>3.0663465206332924E-2</v>
      </c>
      <c r="Q74" s="11">
        <v>3.8280187400470247E-2</v>
      </c>
      <c r="R74" s="11">
        <v>3.7577274670697575E-2</v>
      </c>
      <c r="S74" s="11">
        <v>2.8221426430472124E-2</v>
      </c>
      <c r="T74" s="11">
        <v>0.10474264274347053</v>
      </c>
      <c r="U74" s="11">
        <v>6.514957552737688E-2</v>
      </c>
      <c r="V74" s="11">
        <v>1.4069756584183137E-2</v>
      </c>
    </row>
    <row r="75" spans="15:22" x14ac:dyDescent="0.2">
      <c r="O75" s="1" t="s">
        <v>7</v>
      </c>
      <c r="P75" s="40" cm="1">
        <f t="array" ref="P75">STD(P55:P65)</f>
        <v>3.0663465206332924E-2</v>
      </c>
      <c r="Q75" s="40" cm="1">
        <f t="array" ref="Q75">STD(Q55:Q65)</f>
        <v>3.8280187400470247E-2</v>
      </c>
      <c r="R75" s="40" cm="1">
        <f t="array" ref="R75">STD(R55:R65)</f>
        <v>3.7577274670697575E-2</v>
      </c>
      <c r="S75" s="40" cm="1">
        <f t="array" ref="S75">STD(S55:S65)</f>
        <v>2.8221426430472124E-2</v>
      </c>
      <c r="T75" s="40" cm="1">
        <f t="array" ref="T75">STD(T55:T65)</f>
        <v>0.10474264274347053</v>
      </c>
      <c r="U75" s="40" cm="1">
        <f t="array" ref="U75">STD(U55:U65)</f>
        <v>6.514957552737688E-2</v>
      </c>
      <c r="V75" s="40" cm="1">
        <f t="array" ref="V75">STD(V55:V65)</f>
        <v>1.4069756584183137E-2</v>
      </c>
    </row>
  </sheetData>
  <sheetProtection algorithmName="SHA-512" hashValue="KxTzdp3PcyoYf9fbNqrwqv0bO5C5irbOmsXfyuAeVk5orqneG2xeQeVg5j0daaIGQW/Jnm5eBpqCBSOKpcmzfw==" saltValue="sgp9iR+9Gx7UbhVdthjMtA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G2:R87"/>
  <sheetViews>
    <sheetView topLeftCell="A48" zoomScale="125" zoomScaleNormal="50" workbookViewId="0">
      <selection activeCell="C68" sqref="C68"/>
    </sheetView>
  </sheetViews>
  <sheetFormatPr baseColWidth="10" defaultColWidth="8.83203125" defaultRowHeight="15" x14ac:dyDescent="0.2"/>
  <cols>
    <col min="7" max="7" width="10.5" customWidth="1"/>
    <col min="8" max="13" width="11.5" customWidth="1"/>
    <col min="14" max="14" width="12.33203125" customWidth="1"/>
    <col min="15" max="17" width="11.5" customWidth="1"/>
    <col min="18" max="18" width="11" customWidth="1"/>
  </cols>
  <sheetData>
    <row r="2" spans="7:13" ht="24" x14ac:dyDescent="0.3">
      <c r="G2" s="26" t="s">
        <v>26</v>
      </c>
    </row>
    <row r="4" spans="7:13" x14ac:dyDescent="0.2">
      <c r="G4" s="1" t="s">
        <v>17</v>
      </c>
    </row>
    <row r="6" spans="7:13" x14ac:dyDescent="0.2">
      <c r="G6" s="2"/>
      <c r="H6" s="3" t="s">
        <v>30</v>
      </c>
      <c r="I6" s="4"/>
      <c r="J6" s="4"/>
      <c r="K6" s="4"/>
      <c r="L6" s="4"/>
      <c r="M6" s="4"/>
    </row>
    <row r="7" spans="7:13" x14ac:dyDescent="0.2">
      <c r="G7" s="5"/>
      <c r="H7" s="6" t="str">
        <f t="array" ref="H7:M17">Stock_Data1</f>
        <v>XASX:GEM</v>
      </c>
      <c r="I7" s="6" t="str">
        <v>XASX:JIN</v>
      </c>
      <c r="J7" s="6" t="str">
        <v>XASX:ACL</v>
      </c>
      <c r="K7" s="6" t="str">
        <v>XASX:MVF</v>
      </c>
      <c r="L7" s="6" t="str">
        <v>XASX:BCB</v>
      </c>
      <c r="M7" s="6" t="str">
        <v>XASX:PLS</v>
      </c>
    </row>
    <row r="8" spans="7:13" x14ac:dyDescent="0.2">
      <c r="G8" s="35">
        <f t="array" ref="G8:G17">Stock_Date1</f>
        <v>45019</v>
      </c>
      <c r="H8">
        <v>-2.5105921131076358E-2</v>
      </c>
      <c r="I8">
        <v>6.3794196577713888E-2</v>
      </c>
      <c r="J8">
        <v>5.6497325421191276E-3</v>
      </c>
      <c r="K8">
        <v>9.3023926623136306E-3</v>
      </c>
      <c r="L8">
        <v>3.9220713153281329E-2</v>
      </c>
      <c r="M8">
        <v>-8.7472950965052865E-2</v>
      </c>
    </row>
    <row r="9" spans="7:13" x14ac:dyDescent="0.2">
      <c r="G9" s="35">
        <v>45026</v>
      </c>
      <c r="H9">
        <v>3.3336420267591926E-2</v>
      </c>
      <c r="I9">
        <v>9.6332719771033033E-3</v>
      </c>
      <c r="J9">
        <v>-5.6497325421190209E-3</v>
      </c>
      <c r="K9">
        <v>4.5256591588120648E-2</v>
      </c>
      <c r="L9">
        <v>-1.9418085857101627E-2</v>
      </c>
      <c r="M9">
        <v>3.8048067637529964E-2</v>
      </c>
    </row>
    <row r="10" spans="7:13" x14ac:dyDescent="0.2">
      <c r="G10" s="35">
        <v>45033</v>
      </c>
      <c r="H10">
        <v>2.4292692569044483E-2</v>
      </c>
      <c r="I10">
        <v>-2.0865138463961787E-2</v>
      </c>
      <c r="J10">
        <v>4.9734005674138382E-2</v>
      </c>
      <c r="K10">
        <v>-3.6039936483196693E-2</v>
      </c>
      <c r="L10">
        <v>-4.0005334613699248E-2</v>
      </c>
      <c r="M10">
        <v>6.9526062648610096E-2</v>
      </c>
    </row>
    <row r="11" spans="7:13" x14ac:dyDescent="0.2">
      <c r="G11" s="35">
        <v>45040</v>
      </c>
      <c r="H11">
        <v>-2.4292692569044587E-2</v>
      </c>
      <c r="I11">
        <v>-1.5939616412157187E-2</v>
      </c>
      <c r="J11">
        <v>-4.9734005674138444E-2</v>
      </c>
      <c r="K11">
        <v>5.7922647732704509E-2</v>
      </c>
      <c r="L11">
        <v>2.0202707317519469E-2</v>
      </c>
      <c r="M11">
        <v>5.3281366612936781E-2</v>
      </c>
    </row>
    <row r="12" spans="7:13" x14ac:dyDescent="0.2">
      <c r="G12" s="35">
        <v>45047</v>
      </c>
      <c r="H12">
        <v>-3.3336420267591836E-2</v>
      </c>
      <c r="I12">
        <v>7.6564238228592013E-2</v>
      </c>
      <c r="J12">
        <v>5.6497325421191276E-3</v>
      </c>
      <c r="K12">
        <v>4.3196611445163796E-3</v>
      </c>
      <c r="L12">
        <v>-0.12783337150988489</v>
      </c>
      <c r="M12">
        <v>3.7041271680349076E-2</v>
      </c>
    </row>
    <row r="13" spans="7:13" x14ac:dyDescent="0.2">
      <c r="G13" s="35">
        <v>45054</v>
      </c>
      <c r="H13">
        <v>-2.575249610241474E-2</v>
      </c>
      <c r="I13">
        <v>9.1711401191070831E-3</v>
      </c>
      <c r="J13">
        <v>-1.4184634991956413E-2</v>
      </c>
      <c r="K13">
        <v>4.3010818993907017E-3</v>
      </c>
      <c r="L13">
        <v>0</v>
      </c>
      <c r="M13">
        <v>8.2836005579149177E-2</v>
      </c>
    </row>
    <row r="14" spans="7:13" x14ac:dyDescent="0.2">
      <c r="G14" s="35">
        <v>45061</v>
      </c>
      <c r="H14">
        <v>-3.0907537463076548E-2</v>
      </c>
      <c r="I14">
        <v>2.9749686171060698E-2</v>
      </c>
      <c r="J14">
        <v>1.1363758650315003E-2</v>
      </c>
      <c r="K14">
        <v>0</v>
      </c>
      <c r="L14">
        <v>-4.6520015634892928E-2</v>
      </c>
      <c r="M14">
        <v>4.2995363260062668E-2</v>
      </c>
    </row>
    <row r="15" spans="7:13" x14ac:dyDescent="0.2">
      <c r="G15" s="35">
        <v>45068</v>
      </c>
      <c r="H15">
        <v>-4.1195756438267166E-2</v>
      </c>
      <c r="I15">
        <v>-3.2562627547675388E-2</v>
      </c>
      <c r="J15">
        <v>-8.8553397341445059E-2</v>
      </c>
      <c r="K15">
        <v>-2.1692824611259896E-2</v>
      </c>
      <c r="L15">
        <v>4.6520015634892907E-2</v>
      </c>
      <c r="M15">
        <v>-9.4508897710170653E-2</v>
      </c>
    </row>
    <row r="16" spans="7:13" x14ac:dyDescent="0.2">
      <c r="G16" s="35">
        <v>45075</v>
      </c>
      <c r="H16">
        <v>-2.3641763057040653E-2</v>
      </c>
      <c r="I16">
        <v>5.4141347507291326E-2</v>
      </c>
      <c r="J16">
        <v>3.0816665374081144E-3</v>
      </c>
      <c r="K16">
        <v>8.7336799687546315E-3</v>
      </c>
      <c r="L16">
        <v>0</v>
      </c>
      <c r="M16">
        <v>-1.5538603427779161E-2</v>
      </c>
    </row>
    <row r="17" spans="7:13" x14ac:dyDescent="0.2">
      <c r="G17" s="35">
        <v>45082</v>
      </c>
      <c r="H17">
        <v>-2.9128272923023713E-2</v>
      </c>
      <c r="I17">
        <v>-1.9535818329815782E-2</v>
      </c>
      <c r="J17">
        <v>2.7315810646962924E-2</v>
      </c>
      <c r="K17">
        <v>-8.7336799687546662E-3</v>
      </c>
      <c r="L17">
        <v>-0.2876820724517809</v>
      </c>
      <c r="M17">
        <v>6.0756209421072432E-2</v>
      </c>
    </row>
    <row r="18" spans="7:13" x14ac:dyDescent="0.2">
      <c r="G18" s="7"/>
      <c r="H18" s="8"/>
      <c r="I18" s="8"/>
      <c r="J18" s="8"/>
      <c r="K18" s="8"/>
      <c r="L18" s="8"/>
      <c r="M18" s="8"/>
    </row>
    <row r="19" spans="7:13" x14ac:dyDescent="0.2">
      <c r="G19" s="7"/>
      <c r="H19" s="8"/>
      <c r="I19" s="8" t="str">
        <f t="array" ref="I19:J24">Stock_Info</f>
        <v>GEM</v>
      </c>
      <c r="J19" s="9" t="str">
        <v>G8 EDUCATION LIMITED</v>
      </c>
      <c r="K19" s="8"/>
      <c r="L19" s="8"/>
      <c r="M19" s="8"/>
    </row>
    <row r="20" spans="7:13" x14ac:dyDescent="0.2">
      <c r="G20" s="7"/>
      <c r="H20" s="8"/>
      <c r="I20" s="8" t="str">
        <v>JIN</v>
      </c>
      <c r="J20" s="9" t="str">
        <v>JUMBO INTERACTIVE LIMITED</v>
      </c>
      <c r="K20" s="8"/>
      <c r="L20" s="8"/>
      <c r="M20" s="8"/>
    </row>
    <row r="21" spans="7:13" x14ac:dyDescent="0.2">
      <c r="G21" s="7"/>
      <c r="H21" s="8"/>
      <c r="I21" s="8" t="str">
        <v>ACL</v>
      </c>
      <c r="J21" s="9" t="str">
        <v>Australian Clinical Labs Ltd</v>
      </c>
      <c r="K21" s="8"/>
      <c r="L21" s="8"/>
      <c r="M21" s="8"/>
    </row>
    <row r="22" spans="7:13" x14ac:dyDescent="0.2">
      <c r="G22" s="7"/>
      <c r="H22" s="8"/>
      <c r="I22" s="8" t="str">
        <v>MVF</v>
      </c>
      <c r="J22" s="9" t="str">
        <v>MONASH IVF GROUP LIMITED</v>
      </c>
      <c r="K22" s="8"/>
      <c r="L22" s="8"/>
      <c r="M22" s="8"/>
    </row>
    <row r="23" spans="7:13" x14ac:dyDescent="0.2">
      <c r="G23" s="7"/>
      <c r="H23" s="8"/>
      <c r="I23" s="8" t="str">
        <v>BCB</v>
      </c>
      <c r="J23" s="9" t="str">
        <v>BOWEN COKING COAL LIMITED</v>
      </c>
      <c r="K23" s="8"/>
      <c r="L23" s="8"/>
      <c r="M23" s="8"/>
    </row>
    <row r="24" spans="7:13" x14ac:dyDescent="0.2">
      <c r="G24" s="10"/>
      <c r="H24" s="8"/>
      <c r="I24" s="8" t="str">
        <v>PLS</v>
      </c>
      <c r="J24" s="9" t="str">
        <v>PILBARA MINERALS LIMITED</v>
      </c>
      <c r="K24" s="8"/>
      <c r="L24" s="8"/>
      <c r="M24" s="8"/>
    </row>
    <row r="26" spans="7:13" x14ac:dyDescent="0.2">
      <c r="G26" s="1" t="s">
        <v>0</v>
      </c>
      <c r="H26" s="1"/>
      <c r="I26" s="11">
        <v>10</v>
      </c>
    </row>
    <row r="27" spans="7:13" x14ac:dyDescent="0.2">
      <c r="G27" s="1" t="s">
        <v>1</v>
      </c>
      <c r="H27" s="1"/>
      <c r="I27" s="11">
        <v>6</v>
      </c>
    </row>
    <row r="30" spans="7:13" x14ac:dyDescent="0.2">
      <c r="G30" s="1" t="s">
        <v>33</v>
      </c>
    </row>
    <row r="31" spans="7:13" x14ac:dyDescent="0.2">
      <c r="G31" s="1" t="s">
        <v>2</v>
      </c>
    </row>
    <row r="32" spans="7:13" x14ac:dyDescent="0.2">
      <c r="G32" s="23" t="s">
        <v>16</v>
      </c>
    </row>
    <row r="34" spans="7:17" x14ac:dyDescent="0.2">
      <c r="G34" s="2"/>
      <c r="H34" s="1" t="s">
        <v>31</v>
      </c>
      <c r="I34" s="4"/>
      <c r="J34" s="4"/>
      <c r="K34" s="4"/>
      <c r="L34" s="4"/>
      <c r="M34" s="4"/>
    </row>
    <row r="35" spans="7:17" x14ac:dyDescent="0.2">
      <c r="H35" s="35">
        <f t="array" ref="H35:Q35">TRANSPOSE(G8:G17)</f>
        <v>45019</v>
      </c>
      <c r="I35" s="35">
        <v>45026</v>
      </c>
      <c r="J35" s="35">
        <v>45033</v>
      </c>
      <c r="K35" s="35">
        <v>45040</v>
      </c>
      <c r="L35" s="35">
        <v>45047</v>
      </c>
      <c r="M35" s="35">
        <v>45054</v>
      </c>
      <c r="N35" s="35">
        <v>45061</v>
      </c>
      <c r="O35" s="35">
        <v>45068</v>
      </c>
      <c r="P35" s="35">
        <v>45075</v>
      </c>
      <c r="Q35" s="35">
        <v>45082</v>
      </c>
    </row>
    <row r="36" spans="7:17" x14ac:dyDescent="0.2">
      <c r="G36" s="34" t="str">
        <f t="shared" ref="G36:G41" si="0">I19</f>
        <v>GEM</v>
      </c>
      <c r="H36" s="11">
        <v>-2.5105921131076358E-2</v>
      </c>
      <c r="I36" s="11">
        <v>3.3336420267591926E-2</v>
      </c>
      <c r="J36" s="11">
        <v>2.4292692569044483E-2</v>
      </c>
      <c r="K36" s="11">
        <v>-2.4292692569044587E-2</v>
      </c>
      <c r="L36" s="11">
        <v>-3.3336420267591836E-2</v>
      </c>
      <c r="M36" s="11">
        <v>-2.575249610241474E-2</v>
      </c>
      <c r="N36" s="11">
        <v>-3.0907537463076548E-2</v>
      </c>
      <c r="O36" s="11">
        <v>-4.1195756438267166E-2</v>
      </c>
      <c r="P36" s="11">
        <v>-2.3641763057040653E-2</v>
      </c>
      <c r="Q36" s="11">
        <v>-2.9128272923023713E-2</v>
      </c>
    </row>
    <row r="37" spans="7:17" x14ac:dyDescent="0.2">
      <c r="G37" s="34" t="str">
        <f t="shared" si="0"/>
        <v>JIN</v>
      </c>
      <c r="H37" s="11">
        <v>6.3794196577713888E-2</v>
      </c>
      <c r="I37" s="11">
        <v>9.6332719771033033E-3</v>
      </c>
      <c r="J37" s="11">
        <v>-2.0865138463961787E-2</v>
      </c>
      <c r="K37" s="11">
        <v>-1.5939616412157187E-2</v>
      </c>
      <c r="L37" s="11">
        <v>7.6564238228592013E-2</v>
      </c>
      <c r="M37" s="11">
        <v>9.1711401191070831E-3</v>
      </c>
      <c r="N37" s="11">
        <v>2.9749686171060698E-2</v>
      </c>
      <c r="O37" s="11">
        <v>-3.2562627547675388E-2</v>
      </c>
      <c r="P37" s="11">
        <v>5.4141347507291326E-2</v>
      </c>
      <c r="Q37" s="11">
        <v>-1.9535818329815782E-2</v>
      </c>
    </row>
    <row r="38" spans="7:17" x14ac:dyDescent="0.2">
      <c r="G38" s="34" t="str">
        <f t="shared" si="0"/>
        <v>ACL</v>
      </c>
      <c r="H38" s="11">
        <v>5.6497325421191276E-3</v>
      </c>
      <c r="I38" s="11">
        <v>-5.6497325421190209E-3</v>
      </c>
      <c r="J38" s="11">
        <v>4.9734005674138382E-2</v>
      </c>
      <c r="K38" s="11">
        <v>-4.9734005674138444E-2</v>
      </c>
      <c r="L38" s="11">
        <v>5.6497325421191276E-3</v>
      </c>
      <c r="M38" s="11">
        <v>-1.4184634991956413E-2</v>
      </c>
      <c r="N38" s="11">
        <v>1.1363758650315003E-2</v>
      </c>
      <c r="O38" s="11">
        <v>-8.8553397341445059E-2</v>
      </c>
      <c r="P38" s="11">
        <v>3.0816665374081144E-3</v>
      </c>
      <c r="Q38" s="11">
        <v>2.7315810646962924E-2</v>
      </c>
    </row>
    <row r="39" spans="7:17" x14ac:dyDescent="0.2">
      <c r="G39" s="34" t="str">
        <f t="shared" si="0"/>
        <v>MVF</v>
      </c>
      <c r="H39" s="11">
        <v>9.3023926623136306E-3</v>
      </c>
      <c r="I39" s="11">
        <v>4.5256591588120648E-2</v>
      </c>
      <c r="J39" s="11">
        <v>-3.6039936483196693E-2</v>
      </c>
      <c r="K39" s="11">
        <v>5.7922647732704509E-2</v>
      </c>
      <c r="L39" s="11">
        <v>4.3196611445163796E-3</v>
      </c>
      <c r="M39" s="11">
        <v>4.3010818993907017E-3</v>
      </c>
      <c r="N39" s="11">
        <v>0</v>
      </c>
      <c r="O39" s="11">
        <v>-2.1692824611259896E-2</v>
      </c>
      <c r="P39" s="11">
        <v>8.7336799687546315E-3</v>
      </c>
      <c r="Q39" s="11">
        <v>-8.7336799687546662E-3</v>
      </c>
    </row>
    <row r="40" spans="7:17" x14ac:dyDescent="0.2">
      <c r="G40" s="34" t="str">
        <f t="shared" si="0"/>
        <v>BCB</v>
      </c>
      <c r="H40" s="11">
        <v>3.9220713153281329E-2</v>
      </c>
      <c r="I40" s="11">
        <v>-1.9418085857101627E-2</v>
      </c>
      <c r="J40" s="11">
        <v>-4.0005334613699248E-2</v>
      </c>
      <c r="K40" s="11">
        <v>2.0202707317519469E-2</v>
      </c>
      <c r="L40" s="11">
        <v>-0.12783337150988489</v>
      </c>
      <c r="M40" s="11">
        <v>0</v>
      </c>
      <c r="N40" s="11">
        <v>-4.6520015634892928E-2</v>
      </c>
      <c r="O40" s="11">
        <v>4.6520015634892907E-2</v>
      </c>
      <c r="P40" s="11">
        <v>0</v>
      </c>
      <c r="Q40" s="11">
        <v>-0.2876820724517809</v>
      </c>
    </row>
    <row r="41" spans="7:17" x14ac:dyDescent="0.2">
      <c r="G41" s="34" t="str">
        <f t="shared" si="0"/>
        <v>PLS</v>
      </c>
      <c r="H41" s="11">
        <v>-8.7472950965052865E-2</v>
      </c>
      <c r="I41" s="11">
        <v>3.8048067637529964E-2</v>
      </c>
      <c r="J41" s="11">
        <v>6.9526062648610096E-2</v>
      </c>
      <c r="K41" s="11">
        <v>5.3281366612936781E-2</v>
      </c>
      <c r="L41" s="11">
        <v>3.7041271680349076E-2</v>
      </c>
      <c r="M41" s="11">
        <v>8.2836005579149177E-2</v>
      </c>
      <c r="N41" s="11">
        <v>4.2995363260062668E-2</v>
      </c>
      <c r="O41" s="11">
        <v>-9.4508897710170653E-2</v>
      </c>
      <c r="P41" s="11">
        <v>-1.5538603427779161E-2</v>
      </c>
      <c r="Q41" s="11">
        <v>6.0756209421072432E-2</v>
      </c>
    </row>
    <row r="43" spans="7:17" x14ac:dyDescent="0.2">
      <c r="G43" s="2"/>
      <c r="H43" s="1" t="s">
        <v>32</v>
      </c>
      <c r="I43" s="4"/>
      <c r="J43" s="4"/>
      <c r="K43" s="4"/>
      <c r="L43" s="4"/>
      <c r="M43" s="4"/>
    </row>
    <row r="44" spans="7:17" x14ac:dyDescent="0.2">
      <c r="H44" s="35">
        <f t="shared" ref="H44:Q44" si="1">H35</f>
        <v>45019</v>
      </c>
      <c r="I44" s="35">
        <f t="shared" si="1"/>
        <v>45026</v>
      </c>
      <c r="J44" s="35">
        <f t="shared" si="1"/>
        <v>45033</v>
      </c>
      <c r="K44" s="35">
        <f t="shared" si="1"/>
        <v>45040</v>
      </c>
      <c r="L44" s="35">
        <f t="shared" si="1"/>
        <v>45047</v>
      </c>
      <c r="M44" s="35">
        <f t="shared" si="1"/>
        <v>45054</v>
      </c>
      <c r="N44" s="35">
        <f t="shared" si="1"/>
        <v>45061</v>
      </c>
      <c r="O44" s="35">
        <f t="shared" si="1"/>
        <v>45068</v>
      </c>
      <c r="P44" s="35">
        <f t="shared" si="1"/>
        <v>45075</v>
      </c>
      <c r="Q44" s="35">
        <f t="shared" si="1"/>
        <v>45082</v>
      </c>
    </row>
    <row r="45" spans="7:17" x14ac:dyDescent="0.2">
      <c r="G45" s="34" t="str">
        <f t="shared" ref="G45:G50" si="2">G36</f>
        <v>GEM</v>
      </c>
      <c r="H45" s="40" cm="1">
        <f t="array" ref="H45:Q50">mytrans(returns)</f>
        <v>-2.5105921131076358E-2</v>
      </c>
      <c r="I45" s="40">
        <v>3.3336420267591926E-2</v>
      </c>
      <c r="J45" s="40">
        <v>2.4292692569044483E-2</v>
      </c>
      <c r="K45" s="40">
        <v>-2.4292692569044587E-2</v>
      </c>
      <c r="L45" s="40">
        <v>-3.3336420267591836E-2</v>
      </c>
      <c r="M45" s="40">
        <v>-2.575249610241474E-2</v>
      </c>
      <c r="N45" s="40">
        <v>-3.0907537463076548E-2</v>
      </c>
      <c r="O45" s="40">
        <v>-4.1195756438267166E-2</v>
      </c>
      <c r="P45" s="40">
        <v>-2.3641763057040653E-2</v>
      </c>
      <c r="Q45" s="40">
        <v>-2.9128272923023713E-2</v>
      </c>
    </row>
    <row r="46" spans="7:17" x14ac:dyDescent="0.2">
      <c r="G46" s="34" t="str">
        <f t="shared" si="2"/>
        <v>JIN</v>
      </c>
      <c r="H46" s="40">
        <v>6.3794196577713888E-2</v>
      </c>
      <c r="I46" s="40">
        <v>9.6332719771033033E-3</v>
      </c>
      <c r="J46" s="40">
        <v>-2.0865138463961787E-2</v>
      </c>
      <c r="K46" s="40">
        <v>-1.5939616412157187E-2</v>
      </c>
      <c r="L46" s="40">
        <v>7.6564238228592013E-2</v>
      </c>
      <c r="M46" s="40">
        <v>9.1711401191070831E-3</v>
      </c>
      <c r="N46" s="40">
        <v>2.9749686171060698E-2</v>
      </c>
      <c r="O46" s="40">
        <v>-3.2562627547675388E-2</v>
      </c>
      <c r="P46" s="40">
        <v>5.4141347507291326E-2</v>
      </c>
      <c r="Q46" s="40">
        <v>-1.9535818329815782E-2</v>
      </c>
    </row>
    <row r="47" spans="7:17" x14ac:dyDescent="0.2">
      <c r="G47" s="34" t="str">
        <f t="shared" si="2"/>
        <v>ACL</v>
      </c>
      <c r="H47" s="40">
        <v>5.6497325421191276E-3</v>
      </c>
      <c r="I47" s="40">
        <v>-5.6497325421190209E-3</v>
      </c>
      <c r="J47" s="40">
        <v>4.9734005674138382E-2</v>
      </c>
      <c r="K47" s="40">
        <v>-4.9734005674138444E-2</v>
      </c>
      <c r="L47" s="40">
        <v>5.6497325421191276E-3</v>
      </c>
      <c r="M47" s="40">
        <v>-1.4184634991956413E-2</v>
      </c>
      <c r="N47" s="40">
        <v>1.1363758650315003E-2</v>
      </c>
      <c r="O47" s="40">
        <v>-8.8553397341445059E-2</v>
      </c>
      <c r="P47" s="40">
        <v>3.0816665374081144E-3</v>
      </c>
      <c r="Q47" s="40">
        <v>2.7315810646962924E-2</v>
      </c>
    </row>
    <row r="48" spans="7:17" x14ac:dyDescent="0.2">
      <c r="G48" s="34" t="str">
        <f t="shared" si="2"/>
        <v>MVF</v>
      </c>
      <c r="H48" s="40">
        <v>9.3023926623136306E-3</v>
      </c>
      <c r="I48" s="40">
        <v>4.5256591588120648E-2</v>
      </c>
      <c r="J48" s="40">
        <v>-3.6039936483196693E-2</v>
      </c>
      <c r="K48" s="40">
        <v>5.7922647732704509E-2</v>
      </c>
      <c r="L48" s="40">
        <v>4.3196611445163796E-3</v>
      </c>
      <c r="M48" s="40">
        <v>4.3010818993907017E-3</v>
      </c>
      <c r="N48" s="40">
        <v>0</v>
      </c>
      <c r="O48" s="40">
        <v>-2.1692824611259896E-2</v>
      </c>
      <c r="P48" s="40">
        <v>8.7336799687546315E-3</v>
      </c>
      <c r="Q48" s="40">
        <v>-8.7336799687546662E-3</v>
      </c>
    </row>
    <row r="49" spans="7:17" x14ac:dyDescent="0.2">
      <c r="G49" s="34" t="str">
        <f t="shared" si="2"/>
        <v>BCB</v>
      </c>
      <c r="H49" s="40">
        <v>3.9220713153281329E-2</v>
      </c>
      <c r="I49" s="40">
        <v>-1.9418085857101627E-2</v>
      </c>
      <c r="J49" s="40">
        <v>-4.0005334613699248E-2</v>
      </c>
      <c r="K49" s="40">
        <v>2.0202707317519469E-2</v>
      </c>
      <c r="L49" s="40">
        <v>-0.12783337150988489</v>
      </c>
      <c r="M49" s="40">
        <v>0</v>
      </c>
      <c r="N49" s="40">
        <v>-4.6520015634892928E-2</v>
      </c>
      <c r="O49" s="40">
        <v>4.6520015634892907E-2</v>
      </c>
      <c r="P49" s="40">
        <v>0</v>
      </c>
      <c r="Q49" s="40">
        <v>-0.2876820724517809</v>
      </c>
    </row>
    <row r="50" spans="7:17" x14ac:dyDescent="0.2">
      <c r="G50" s="34" t="str">
        <f t="shared" si="2"/>
        <v>PLS</v>
      </c>
      <c r="H50" s="40">
        <v>-8.7472950965052865E-2</v>
      </c>
      <c r="I50" s="40">
        <v>3.8048067637529964E-2</v>
      </c>
      <c r="J50" s="40">
        <v>6.9526062648610096E-2</v>
      </c>
      <c r="K50" s="40">
        <v>5.3281366612936781E-2</v>
      </c>
      <c r="L50" s="40">
        <v>3.7041271680349076E-2</v>
      </c>
      <c r="M50" s="40">
        <v>8.2836005579149177E-2</v>
      </c>
      <c r="N50" s="40">
        <v>4.2995363260062668E-2</v>
      </c>
      <c r="O50" s="40">
        <v>-9.4508897710170653E-2</v>
      </c>
      <c r="P50" s="40">
        <v>-1.5538603427779161E-2</v>
      </c>
      <c r="Q50" s="40">
        <v>6.0756209421072432E-2</v>
      </c>
    </row>
    <row r="52" spans="7:17" x14ac:dyDescent="0.2">
      <c r="I52" s="1" t="s">
        <v>9</v>
      </c>
    </row>
    <row r="53" spans="7:17" ht="16" thickBot="1" x14ac:dyDescent="0.25"/>
    <row r="54" spans="7:17" ht="16" thickBot="1" x14ac:dyDescent="0.25">
      <c r="G54" s="12"/>
      <c r="H54" s="46" t="str">
        <f t="array" ref="H54:N65">Stock_Data2</f>
        <v>XASX:GEM</v>
      </c>
      <c r="I54" s="46" t="str">
        <v>XASX:JIN</v>
      </c>
      <c r="J54" s="46" t="str">
        <v>XASX:ACL</v>
      </c>
      <c r="K54" s="46" t="str">
        <v>XASX:MVF</v>
      </c>
      <c r="L54" s="46" t="str">
        <v>XASX:BCB</v>
      </c>
      <c r="M54" s="46" t="str">
        <v>XASX:PLS</v>
      </c>
      <c r="N54" s="47" t="str">
        <v>ALL ORDS</v>
      </c>
    </row>
    <row r="55" spans="7:17" x14ac:dyDescent="0.2">
      <c r="G55" s="13">
        <f t="array" ref="G55:G65">Stock_Date2</f>
        <v>45012</v>
      </c>
      <c r="H55" s="48">
        <v>4.6520015634892907E-2</v>
      </c>
      <c r="I55" s="49">
        <v>-1.7309637535091731E-2</v>
      </c>
      <c r="J55" s="49">
        <v>-2.793477733155407E-2</v>
      </c>
      <c r="K55" s="49">
        <v>3.8099846232270383E-2</v>
      </c>
      <c r="L55" s="49">
        <v>0.10536051565782635</v>
      </c>
      <c r="M55" s="49">
        <v>0.1014201784459033</v>
      </c>
      <c r="N55" s="50">
        <v>3.2488781788282267E-2</v>
      </c>
      <c r="O55" s="22"/>
    </row>
    <row r="56" spans="7:17" x14ac:dyDescent="0.2">
      <c r="G56" s="13">
        <v>45019</v>
      </c>
      <c r="H56" s="51">
        <v>-2.5105921131076358E-2</v>
      </c>
      <c r="I56" s="52">
        <v>6.3794196577713888E-2</v>
      </c>
      <c r="J56" s="52">
        <v>5.6497325421191276E-3</v>
      </c>
      <c r="K56" s="52">
        <v>9.3023926623136306E-3</v>
      </c>
      <c r="L56" s="52">
        <v>3.9220713153281329E-2</v>
      </c>
      <c r="M56" s="52">
        <v>-8.7472950965052865E-2</v>
      </c>
      <c r="N56" s="53">
        <v>5.2349412429678393E-3</v>
      </c>
    </row>
    <row r="57" spans="7:17" x14ac:dyDescent="0.2">
      <c r="G57" s="13">
        <v>45026</v>
      </c>
      <c r="H57" s="51">
        <v>3.3336420267591926E-2</v>
      </c>
      <c r="I57" s="52">
        <v>9.6332719771033033E-3</v>
      </c>
      <c r="J57" s="52">
        <v>-5.6497325421190209E-3</v>
      </c>
      <c r="K57" s="52">
        <v>4.5256591588120648E-2</v>
      </c>
      <c r="L57" s="52">
        <v>-1.9418085857101627E-2</v>
      </c>
      <c r="M57" s="52">
        <v>3.8048067637529964E-2</v>
      </c>
      <c r="N57" s="53">
        <v>1.9823790421550788E-2</v>
      </c>
    </row>
    <row r="58" spans="7:17" x14ac:dyDescent="0.2">
      <c r="G58" s="13">
        <v>45033</v>
      </c>
      <c r="H58" s="51">
        <v>2.4292692569044483E-2</v>
      </c>
      <c r="I58" s="52">
        <v>-2.0865138463961787E-2</v>
      </c>
      <c r="J58" s="52">
        <v>4.9734005674138382E-2</v>
      </c>
      <c r="K58" s="52">
        <v>-3.6039936483196693E-2</v>
      </c>
      <c r="L58" s="52">
        <v>-4.0005334613699248E-2</v>
      </c>
      <c r="M58" s="52">
        <v>6.9526062648610096E-2</v>
      </c>
      <c r="N58" s="53">
        <v>-4.9591042665796609E-3</v>
      </c>
    </row>
    <row r="59" spans="7:17" x14ac:dyDescent="0.2">
      <c r="G59" s="13">
        <v>45040</v>
      </c>
      <c r="H59" s="51">
        <v>-2.4292692569044587E-2</v>
      </c>
      <c r="I59" s="52">
        <v>-1.5939616412157187E-2</v>
      </c>
      <c r="J59" s="52">
        <v>-4.9734005674138444E-2</v>
      </c>
      <c r="K59" s="52">
        <v>5.7922647732704509E-2</v>
      </c>
      <c r="L59" s="52">
        <v>2.0202707317519469E-2</v>
      </c>
      <c r="M59" s="52">
        <v>5.3281366612936781E-2</v>
      </c>
      <c r="N59" s="53">
        <v>-2.91531812365704E-3</v>
      </c>
    </row>
    <row r="60" spans="7:17" x14ac:dyDescent="0.2">
      <c r="G60" s="13">
        <v>45047</v>
      </c>
      <c r="H60" s="51">
        <v>-3.3336420267591836E-2</v>
      </c>
      <c r="I60" s="52">
        <v>7.6564238228592013E-2</v>
      </c>
      <c r="J60" s="52">
        <v>5.6497325421191276E-3</v>
      </c>
      <c r="K60" s="52">
        <v>4.3196611445163796E-3</v>
      </c>
      <c r="L60" s="52">
        <v>-0.12783337150988489</v>
      </c>
      <c r="M60" s="52">
        <v>3.7041271680349076E-2</v>
      </c>
      <c r="N60" s="53">
        <v>-1.1800971055641882E-2</v>
      </c>
    </row>
    <row r="61" spans="7:17" x14ac:dyDescent="0.2">
      <c r="G61" s="13">
        <v>45054</v>
      </c>
      <c r="H61" s="51">
        <v>-2.575249610241474E-2</v>
      </c>
      <c r="I61" s="52">
        <v>9.1711401191070831E-3</v>
      </c>
      <c r="J61" s="52">
        <v>-1.4184634991956413E-2</v>
      </c>
      <c r="K61" s="52">
        <v>4.3010818993907017E-3</v>
      </c>
      <c r="L61" s="52">
        <v>0</v>
      </c>
      <c r="M61" s="52">
        <v>8.2836005579149177E-2</v>
      </c>
      <c r="N61" s="53">
        <v>5.394764972335017E-3</v>
      </c>
    </row>
    <row r="62" spans="7:17" x14ac:dyDescent="0.2">
      <c r="G62" s="13">
        <v>45061</v>
      </c>
      <c r="H62" s="51">
        <v>-3.0907537463076548E-2</v>
      </c>
      <c r="I62" s="52">
        <v>2.9749686171060698E-2</v>
      </c>
      <c r="J62" s="52">
        <v>1.1363758650315003E-2</v>
      </c>
      <c r="K62" s="52">
        <v>0</v>
      </c>
      <c r="L62" s="52">
        <v>-4.6520015634892928E-2</v>
      </c>
      <c r="M62" s="52">
        <v>4.2995363260062668E-2</v>
      </c>
      <c r="N62" s="53">
        <v>2.4523118281902577E-3</v>
      </c>
    </row>
    <row r="63" spans="7:17" x14ac:dyDescent="0.2">
      <c r="G63" s="13">
        <v>45068</v>
      </c>
      <c r="H63" s="51">
        <v>-4.1195756438267166E-2</v>
      </c>
      <c r="I63" s="52">
        <v>-3.2562627547675388E-2</v>
      </c>
      <c r="J63" s="52">
        <v>-8.8553397341445059E-2</v>
      </c>
      <c r="K63" s="52">
        <v>-2.1692824611259896E-2</v>
      </c>
      <c r="L63" s="52">
        <v>4.6520015634892907E-2</v>
      </c>
      <c r="M63" s="52">
        <v>-9.4508897710170653E-2</v>
      </c>
      <c r="N63" s="53">
        <v>-1.8506539253630272E-2</v>
      </c>
    </row>
    <row r="64" spans="7:17" x14ac:dyDescent="0.2">
      <c r="G64" s="13">
        <v>45075</v>
      </c>
      <c r="H64" s="51">
        <v>-2.3641763057040653E-2</v>
      </c>
      <c r="I64" s="52">
        <v>5.4141347507291326E-2</v>
      </c>
      <c r="J64" s="52">
        <v>3.0816665374081144E-3</v>
      </c>
      <c r="K64" s="52">
        <v>8.7336799687546315E-3</v>
      </c>
      <c r="L64" s="52">
        <v>0</v>
      </c>
      <c r="M64" s="52">
        <v>-1.5538603427779161E-2</v>
      </c>
      <c r="N64" s="53">
        <v>-4.5002966864117364E-4</v>
      </c>
    </row>
    <row r="65" spans="7:18" ht="16" thickBot="1" x14ac:dyDescent="0.25">
      <c r="G65" s="14">
        <v>45082</v>
      </c>
      <c r="H65" s="54">
        <v>-2.9128272923023713E-2</v>
      </c>
      <c r="I65" s="55">
        <v>-1.9535818329815782E-2</v>
      </c>
      <c r="J65" s="55">
        <v>2.7315810646962924E-2</v>
      </c>
      <c r="K65" s="55">
        <v>-8.7336799687546662E-3</v>
      </c>
      <c r="L65" s="55">
        <v>-0.2876820724517809</v>
      </c>
      <c r="M65" s="55">
        <v>6.0756209421072432E-2</v>
      </c>
      <c r="N65" s="56">
        <v>-2.5813515204445832E-3</v>
      </c>
    </row>
    <row r="68" spans="7:18" x14ac:dyDescent="0.2">
      <c r="H68" s="1" t="s">
        <v>10</v>
      </c>
    </row>
    <row r="69" spans="7:18" ht="16" thickBot="1" x14ac:dyDescent="0.25">
      <c r="H69" s="1" t="s">
        <v>31</v>
      </c>
    </row>
    <row r="70" spans="7:18" ht="16" thickBot="1" x14ac:dyDescent="0.25">
      <c r="G70" s="17"/>
      <c r="H70" s="15">
        <f t="array" ref="H70:R70">TRANSPOSE(G55:G65)</f>
        <v>45012</v>
      </c>
      <c r="I70" s="15">
        <v>45019</v>
      </c>
      <c r="J70" s="15">
        <v>45026</v>
      </c>
      <c r="K70" s="15">
        <v>45033</v>
      </c>
      <c r="L70" s="15">
        <v>45040</v>
      </c>
      <c r="M70" s="15">
        <v>45047</v>
      </c>
      <c r="N70" s="15">
        <v>45054</v>
      </c>
      <c r="O70" s="15">
        <v>45061</v>
      </c>
      <c r="P70" s="15">
        <v>45068</v>
      </c>
      <c r="Q70" s="15">
        <v>45075</v>
      </c>
      <c r="R70" s="16">
        <v>45082</v>
      </c>
    </row>
    <row r="71" spans="7:18" x14ac:dyDescent="0.2">
      <c r="G71" s="36" t="str">
        <f t="shared" ref="G71:G76" si="3">G36</f>
        <v>GEM</v>
      </c>
      <c r="H71" s="11">
        <v>4.6520015634892907E-2</v>
      </c>
      <c r="I71" s="11">
        <v>-2.5105921131076358E-2</v>
      </c>
      <c r="J71" s="11">
        <v>3.3336420267591926E-2</v>
      </c>
      <c r="K71" s="11">
        <v>2.4292692569044483E-2</v>
      </c>
      <c r="L71" s="11">
        <v>-2.4292692569044587E-2</v>
      </c>
      <c r="M71" s="11">
        <v>-3.3336420267591836E-2</v>
      </c>
      <c r="N71" s="11">
        <v>-2.575249610241474E-2</v>
      </c>
      <c r="O71" s="11">
        <v>-3.0907537463076548E-2</v>
      </c>
      <c r="P71" s="11">
        <v>-4.1195756438267166E-2</v>
      </c>
      <c r="Q71" s="11">
        <v>-2.3641763057040653E-2</v>
      </c>
      <c r="R71" s="30">
        <v>-2.9128272923023713E-2</v>
      </c>
    </row>
    <row r="72" spans="7:18" x14ac:dyDescent="0.2">
      <c r="G72" s="36" t="str">
        <f t="shared" si="3"/>
        <v>JIN</v>
      </c>
      <c r="H72" s="11">
        <v>-1.7309637535091731E-2</v>
      </c>
      <c r="I72" s="11">
        <v>6.3794196577713888E-2</v>
      </c>
      <c r="J72" s="11">
        <v>9.6332719771033033E-3</v>
      </c>
      <c r="K72" s="11">
        <v>-2.0865138463961787E-2</v>
      </c>
      <c r="L72" s="11">
        <v>-1.5939616412157187E-2</v>
      </c>
      <c r="M72" s="11">
        <v>7.6564238228592013E-2</v>
      </c>
      <c r="N72" s="11">
        <v>9.1711401191070831E-3</v>
      </c>
      <c r="O72" s="11">
        <v>2.9749686171060698E-2</v>
      </c>
      <c r="P72" s="11">
        <v>-3.2562627547675388E-2</v>
      </c>
      <c r="Q72" s="11">
        <v>5.4141347507291326E-2</v>
      </c>
      <c r="R72" s="30">
        <v>-1.9535818329815782E-2</v>
      </c>
    </row>
    <row r="73" spans="7:18" x14ac:dyDescent="0.2">
      <c r="G73" s="36" t="str">
        <f t="shared" si="3"/>
        <v>ACL</v>
      </c>
      <c r="H73" s="11">
        <v>-2.793477733155407E-2</v>
      </c>
      <c r="I73" s="11">
        <v>5.6497325421191276E-3</v>
      </c>
      <c r="J73" s="11">
        <v>-5.6497325421190209E-3</v>
      </c>
      <c r="K73" s="11">
        <v>4.9734005674138382E-2</v>
      </c>
      <c r="L73" s="11">
        <v>-4.9734005674138444E-2</v>
      </c>
      <c r="M73" s="11">
        <v>5.6497325421191276E-3</v>
      </c>
      <c r="N73" s="11">
        <v>-1.4184634991956413E-2</v>
      </c>
      <c r="O73" s="11">
        <v>1.1363758650315003E-2</v>
      </c>
      <c r="P73" s="11">
        <v>-8.8553397341445059E-2</v>
      </c>
      <c r="Q73" s="11">
        <v>3.0816665374081144E-3</v>
      </c>
      <c r="R73" s="30">
        <v>2.7315810646962924E-2</v>
      </c>
    </row>
    <row r="74" spans="7:18" x14ac:dyDescent="0.2">
      <c r="G74" s="36" t="str">
        <f t="shared" si="3"/>
        <v>MVF</v>
      </c>
      <c r="H74" s="11">
        <v>3.8099846232270383E-2</v>
      </c>
      <c r="I74" s="11">
        <v>9.3023926623136306E-3</v>
      </c>
      <c r="J74" s="11">
        <v>4.5256591588120648E-2</v>
      </c>
      <c r="K74" s="11">
        <v>-3.6039936483196693E-2</v>
      </c>
      <c r="L74" s="11">
        <v>5.7922647732704509E-2</v>
      </c>
      <c r="M74" s="11">
        <v>4.3196611445163796E-3</v>
      </c>
      <c r="N74" s="11">
        <v>4.3010818993907017E-3</v>
      </c>
      <c r="O74" s="11">
        <v>0</v>
      </c>
      <c r="P74" s="11">
        <v>-2.1692824611259896E-2</v>
      </c>
      <c r="Q74" s="11">
        <v>8.7336799687546315E-3</v>
      </c>
      <c r="R74" s="30">
        <v>-8.7336799687546662E-3</v>
      </c>
    </row>
    <row r="75" spans="7:18" x14ac:dyDescent="0.2">
      <c r="G75" s="36" t="str">
        <f t="shared" si="3"/>
        <v>BCB</v>
      </c>
      <c r="H75" s="11">
        <v>0.10536051565782635</v>
      </c>
      <c r="I75" s="11">
        <v>3.9220713153281329E-2</v>
      </c>
      <c r="J75" s="11">
        <v>-1.9418085857101627E-2</v>
      </c>
      <c r="K75" s="11">
        <v>-4.0005334613699248E-2</v>
      </c>
      <c r="L75" s="11">
        <v>2.0202707317519469E-2</v>
      </c>
      <c r="M75" s="11">
        <v>-0.12783337150988489</v>
      </c>
      <c r="N75" s="11">
        <v>0</v>
      </c>
      <c r="O75" s="11">
        <v>-4.6520015634892928E-2</v>
      </c>
      <c r="P75" s="11">
        <v>4.6520015634892907E-2</v>
      </c>
      <c r="Q75" s="11">
        <v>0</v>
      </c>
      <c r="R75" s="30">
        <v>-0.2876820724517809</v>
      </c>
    </row>
    <row r="76" spans="7:18" x14ac:dyDescent="0.2">
      <c r="G76" s="36" t="str">
        <f t="shared" si="3"/>
        <v>PLS</v>
      </c>
      <c r="H76" s="11">
        <v>0.1014201784459033</v>
      </c>
      <c r="I76" s="11">
        <v>-8.7472950965052865E-2</v>
      </c>
      <c r="J76" s="11">
        <v>3.8048067637529964E-2</v>
      </c>
      <c r="K76" s="11">
        <v>6.9526062648610096E-2</v>
      </c>
      <c r="L76" s="11">
        <v>5.3281366612936781E-2</v>
      </c>
      <c r="M76" s="11">
        <v>3.7041271680349076E-2</v>
      </c>
      <c r="N76" s="11">
        <v>8.2836005579149177E-2</v>
      </c>
      <c r="O76" s="11">
        <v>4.2995363260062668E-2</v>
      </c>
      <c r="P76" s="11">
        <v>-9.4508897710170653E-2</v>
      </c>
      <c r="Q76" s="11">
        <v>-1.5538603427779161E-2</v>
      </c>
      <c r="R76" s="30">
        <v>6.0756209421072432E-2</v>
      </c>
    </row>
    <row r="77" spans="7:18" ht="16" thickBot="1" x14ac:dyDescent="0.25">
      <c r="G77" s="18" t="s">
        <v>8</v>
      </c>
      <c r="H77" s="31">
        <v>3.2488781788282267E-2</v>
      </c>
      <c r="I77" s="31">
        <v>5.2349412429678393E-3</v>
      </c>
      <c r="J77" s="31">
        <v>1.9823790421550788E-2</v>
      </c>
      <c r="K77" s="31">
        <v>-4.9591042665796609E-3</v>
      </c>
      <c r="L77" s="31">
        <v>-2.91531812365704E-3</v>
      </c>
      <c r="M77" s="31">
        <v>-1.1800971055641882E-2</v>
      </c>
      <c r="N77" s="31">
        <v>5.394764972335017E-3</v>
      </c>
      <c r="O77" s="31">
        <v>2.4523118281902577E-3</v>
      </c>
      <c r="P77" s="31">
        <v>-1.8506539253630272E-2</v>
      </c>
      <c r="Q77" s="31">
        <v>-4.5002966864117364E-4</v>
      </c>
      <c r="R77" s="32">
        <v>-2.5813515204445832E-3</v>
      </c>
    </row>
    <row r="79" spans="7:18" ht="16" thickBot="1" x14ac:dyDescent="0.25">
      <c r="H79" s="1" t="s">
        <v>32</v>
      </c>
    </row>
    <row r="80" spans="7:18" ht="16" thickBot="1" x14ac:dyDescent="0.25">
      <c r="G80" s="17"/>
      <c r="H80" s="15">
        <f t="shared" ref="H80:R80" si="4">H70</f>
        <v>45012</v>
      </c>
      <c r="I80" s="15">
        <f t="shared" si="4"/>
        <v>45019</v>
      </c>
      <c r="J80" s="15">
        <f t="shared" si="4"/>
        <v>45026</v>
      </c>
      <c r="K80" s="15">
        <f t="shared" si="4"/>
        <v>45033</v>
      </c>
      <c r="L80" s="15">
        <f t="shared" si="4"/>
        <v>45040</v>
      </c>
      <c r="M80" s="15">
        <f t="shared" si="4"/>
        <v>45047</v>
      </c>
      <c r="N80" s="15">
        <f t="shared" si="4"/>
        <v>45054</v>
      </c>
      <c r="O80" s="15">
        <f t="shared" si="4"/>
        <v>45061</v>
      </c>
      <c r="P80" s="15">
        <f t="shared" si="4"/>
        <v>45068</v>
      </c>
      <c r="Q80" s="15">
        <f t="shared" si="4"/>
        <v>45075</v>
      </c>
      <c r="R80" s="16">
        <f t="shared" si="4"/>
        <v>45082</v>
      </c>
    </row>
    <row r="81" spans="7:18" x14ac:dyDescent="0.2">
      <c r="G81" s="36" t="str">
        <f t="shared" ref="G81:G87" si="5">G71</f>
        <v>GEM</v>
      </c>
      <c r="H81" s="40" cm="1">
        <f t="array" ref="H81:R87">mytrans(H55:N65)</f>
        <v>4.6520015634892907E-2</v>
      </c>
      <c r="I81" s="40">
        <v>-2.5105921131076358E-2</v>
      </c>
      <c r="J81" s="40">
        <v>3.3336420267591926E-2</v>
      </c>
      <c r="K81" s="40">
        <v>2.4292692569044483E-2</v>
      </c>
      <c r="L81" s="40">
        <v>-2.4292692569044587E-2</v>
      </c>
      <c r="M81" s="40">
        <v>-3.3336420267591836E-2</v>
      </c>
      <c r="N81" s="40">
        <v>-2.575249610241474E-2</v>
      </c>
      <c r="O81" s="40">
        <v>-3.0907537463076548E-2</v>
      </c>
      <c r="P81" s="40">
        <v>-4.1195756438267166E-2</v>
      </c>
      <c r="Q81" s="40">
        <v>-2.3641763057040653E-2</v>
      </c>
      <c r="R81" s="42">
        <v>-2.9128272923023713E-2</v>
      </c>
    </row>
    <row r="82" spans="7:18" x14ac:dyDescent="0.2">
      <c r="G82" s="36" t="str">
        <f t="shared" si="5"/>
        <v>JIN</v>
      </c>
      <c r="H82" s="40">
        <v>-1.7309637535091731E-2</v>
      </c>
      <c r="I82" s="40">
        <v>6.3794196577713888E-2</v>
      </c>
      <c r="J82" s="40">
        <v>9.6332719771033033E-3</v>
      </c>
      <c r="K82" s="40">
        <v>-2.0865138463961787E-2</v>
      </c>
      <c r="L82" s="40">
        <v>-1.5939616412157187E-2</v>
      </c>
      <c r="M82" s="40">
        <v>7.6564238228592013E-2</v>
      </c>
      <c r="N82" s="40">
        <v>9.1711401191070831E-3</v>
      </c>
      <c r="O82" s="40">
        <v>2.9749686171060698E-2</v>
      </c>
      <c r="P82" s="40">
        <v>-3.2562627547675388E-2</v>
      </c>
      <c r="Q82" s="40">
        <v>5.4141347507291326E-2</v>
      </c>
      <c r="R82" s="42">
        <v>-1.9535818329815782E-2</v>
      </c>
    </row>
    <row r="83" spans="7:18" x14ac:dyDescent="0.2">
      <c r="G83" s="36" t="str">
        <f t="shared" si="5"/>
        <v>ACL</v>
      </c>
      <c r="H83" s="40">
        <v>-2.793477733155407E-2</v>
      </c>
      <c r="I83" s="40">
        <v>5.6497325421191276E-3</v>
      </c>
      <c r="J83" s="40">
        <v>-5.6497325421190209E-3</v>
      </c>
      <c r="K83" s="40">
        <v>4.9734005674138382E-2</v>
      </c>
      <c r="L83" s="40">
        <v>-4.9734005674138444E-2</v>
      </c>
      <c r="M83" s="40">
        <v>5.6497325421191276E-3</v>
      </c>
      <c r="N83" s="40">
        <v>-1.4184634991956413E-2</v>
      </c>
      <c r="O83" s="40">
        <v>1.1363758650315003E-2</v>
      </c>
      <c r="P83" s="40">
        <v>-8.8553397341445059E-2</v>
      </c>
      <c r="Q83" s="40">
        <v>3.0816665374081144E-3</v>
      </c>
      <c r="R83" s="42">
        <v>2.7315810646962924E-2</v>
      </c>
    </row>
    <row r="84" spans="7:18" x14ac:dyDescent="0.2">
      <c r="G84" s="36" t="str">
        <f t="shared" si="5"/>
        <v>MVF</v>
      </c>
      <c r="H84" s="40">
        <v>3.8099846232270383E-2</v>
      </c>
      <c r="I84" s="40">
        <v>9.3023926623136306E-3</v>
      </c>
      <c r="J84" s="40">
        <v>4.5256591588120648E-2</v>
      </c>
      <c r="K84" s="40">
        <v>-3.6039936483196693E-2</v>
      </c>
      <c r="L84" s="40">
        <v>5.7922647732704509E-2</v>
      </c>
      <c r="M84" s="40">
        <v>4.3196611445163796E-3</v>
      </c>
      <c r="N84" s="40">
        <v>4.3010818993907017E-3</v>
      </c>
      <c r="O84" s="40">
        <v>0</v>
      </c>
      <c r="P84" s="40">
        <v>-2.1692824611259896E-2</v>
      </c>
      <c r="Q84" s="40">
        <v>8.7336799687546315E-3</v>
      </c>
      <c r="R84" s="42">
        <v>-8.7336799687546662E-3</v>
      </c>
    </row>
    <row r="85" spans="7:18" x14ac:dyDescent="0.2">
      <c r="G85" s="36" t="str">
        <f t="shared" si="5"/>
        <v>BCB</v>
      </c>
      <c r="H85" s="40">
        <v>0.10536051565782635</v>
      </c>
      <c r="I85" s="40">
        <v>3.9220713153281329E-2</v>
      </c>
      <c r="J85" s="40">
        <v>-1.9418085857101627E-2</v>
      </c>
      <c r="K85" s="40">
        <v>-4.0005334613699248E-2</v>
      </c>
      <c r="L85" s="40">
        <v>2.0202707317519469E-2</v>
      </c>
      <c r="M85" s="40">
        <v>-0.12783337150988489</v>
      </c>
      <c r="N85" s="40">
        <v>0</v>
      </c>
      <c r="O85" s="40">
        <v>-4.6520015634892928E-2</v>
      </c>
      <c r="P85" s="40">
        <v>4.6520015634892907E-2</v>
      </c>
      <c r="Q85" s="40">
        <v>0</v>
      </c>
      <c r="R85" s="42">
        <v>-0.2876820724517809</v>
      </c>
    </row>
    <row r="86" spans="7:18" x14ac:dyDescent="0.2">
      <c r="G86" s="36" t="str">
        <f t="shared" si="5"/>
        <v>PLS</v>
      </c>
      <c r="H86" s="40">
        <v>0.1014201784459033</v>
      </c>
      <c r="I86" s="40">
        <v>-8.7472950965052865E-2</v>
      </c>
      <c r="J86" s="40">
        <v>3.8048067637529964E-2</v>
      </c>
      <c r="K86" s="40">
        <v>6.9526062648610096E-2</v>
      </c>
      <c r="L86" s="40">
        <v>5.3281366612936781E-2</v>
      </c>
      <c r="M86" s="40">
        <v>3.7041271680349076E-2</v>
      </c>
      <c r="N86" s="40">
        <v>8.2836005579149177E-2</v>
      </c>
      <c r="O86" s="40">
        <v>4.2995363260062668E-2</v>
      </c>
      <c r="P86" s="40">
        <v>-9.4508897710170653E-2</v>
      </c>
      <c r="Q86" s="40">
        <v>-1.5538603427779161E-2</v>
      </c>
      <c r="R86" s="42">
        <v>6.0756209421072432E-2</v>
      </c>
    </row>
    <row r="87" spans="7:18" ht="16" thickBot="1" x14ac:dyDescent="0.25">
      <c r="G87" s="41" t="str">
        <f t="shared" si="5"/>
        <v>ALL ORDS</v>
      </c>
      <c r="H87" s="43">
        <v>3.2488781788282267E-2</v>
      </c>
      <c r="I87" s="43">
        <v>5.2349412429678393E-3</v>
      </c>
      <c r="J87" s="43">
        <v>1.9823790421550788E-2</v>
      </c>
      <c r="K87" s="43">
        <v>-4.9591042665796609E-3</v>
      </c>
      <c r="L87" s="43">
        <v>-2.91531812365704E-3</v>
      </c>
      <c r="M87" s="43">
        <v>-1.1800971055641882E-2</v>
      </c>
      <c r="N87" s="43">
        <v>5.394764972335017E-3</v>
      </c>
      <c r="O87" s="43">
        <v>2.4523118281902577E-3</v>
      </c>
      <c r="P87" s="43">
        <v>-1.8506539253630272E-2</v>
      </c>
      <c r="Q87" s="43">
        <v>-4.5002966864117364E-4</v>
      </c>
      <c r="R87" s="44">
        <v>-2.5813515204445832E-3</v>
      </c>
    </row>
  </sheetData>
  <sheetProtection algorithmName="SHA-512" hashValue="gHJVOzlAlxRgRfSAW1pQCGCRsMSqVLOaItEWyx2YduLmso6F+hbahdbPiT9cGQXKR+0Zq7NRSdpEcj6zGP5xxQ==" saltValue="pSbDWhCTv7iGwrG5avsehA==" spinCount="100000" sheet="1" objects="1" scenarios="1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8:AA22"/>
  <sheetViews>
    <sheetView tabSelected="1" topLeftCell="J3" zoomScale="164" zoomScaleNormal="131" workbookViewId="0">
      <selection activeCell="W21" sqref="W21"/>
    </sheetView>
  </sheetViews>
  <sheetFormatPr baseColWidth="10" defaultColWidth="8.83203125" defaultRowHeight="15" x14ac:dyDescent="0.2"/>
  <sheetData>
    <row r="8" spans="13:26" ht="24" x14ac:dyDescent="0.3">
      <c r="M8" s="26" t="s">
        <v>28</v>
      </c>
    </row>
    <row r="10" spans="13:26" x14ac:dyDescent="0.2">
      <c r="M10" s="1" t="s">
        <v>15</v>
      </c>
    </row>
    <row r="12" spans="13:26" x14ac:dyDescent="0.2">
      <c r="M12" t="s">
        <v>11</v>
      </c>
      <c r="P12" t="s">
        <v>12</v>
      </c>
      <c r="S12" t="s">
        <v>38</v>
      </c>
      <c r="V12" t="s">
        <v>37</v>
      </c>
      <c r="Y12" t="s">
        <v>34</v>
      </c>
    </row>
    <row r="13" spans="13:26" x14ac:dyDescent="0.2">
      <c r="M13" s="19">
        <v>1</v>
      </c>
      <c r="N13" s="19">
        <v>2</v>
      </c>
      <c r="O13" s="21" t="s">
        <v>13</v>
      </c>
      <c r="P13" s="19">
        <v>4</v>
      </c>
      <c r="Q13" s="19">
        <v>5</v>
      </c>
      <c r="R13" s="21" t="s">
        <v>14</v>
      </c>
      <c r="S13" s="20">
        <v>16</v>
      </c>
      <c r="T13" s="20">
        <v>19</v>
      </c>
      <c r="V13" s="45" cm="1">
        <f t="array" ref="V13:W14">thematrix(M13:N14,P13:Q14)</f>
        <v>16</v>
      </c>
      <c r="W13" s="45">
        <v>19</v>
      </c>
      <c r="Y13" s="27" cm="1">
        <f t="array" ref="Y13:Z14">MMULT(M13:N14,P13:Q14)</f>
        <v>16</v>
      </c>
      <c r="Z13" s="27">
        <v>19</v>
      </c>
    </row>
    <row r="14" spans="13:26" x14ac:dyDescent="0.2">
      <c r="M14" s="19">
        <v>3</v>
      </c>
      <c r="N14" s="19">
        <v>4</v>
      </c>
      <c r="P14" s="19">
        <v>6</v>
      </c>
      <c r="Q14" s="19">
        <v>7</v>
      </c>
      <c r="S14" s="20">
        <v>36</v>
      </c>
      <c r="T14" s="20">
        <v>43</v>
      </c>
      <c r="V14" s="45">
        <v>36</v>
      </c>
      <c r="W14" s="45">
        <v>43</v>
      </c>
      <c r="Y14" s="27">
        <v>36</v>
      </c>
      <c r="Z14" s="27">
        <v>43</v>
      </c>
    </row>
    <row r="17" spans="13:27" x14ac:dyDescent="0.2">
      <c r="M17" s="1" t="s">
        <v>24</v>
      </c>
    </row>
    <row r="19" spans="13:27" x14ac:dyDescent="0.2">
      <c r="M19" t="s">
        <v>22</v>
      </c>
      <c r="Q19" t="s">
        <v>23</v>
      </c>
      <c r="T19" t="s">
        <v>39</v>
      </c>
      <c r="W19" t="s">
        <v>36</v>
      </c>
      <c r="Z19" t="s">
        <v>35</v>
      </c>
    </row>
    <row r="20" spans="13:27" x14ac:dyDescent="0.2">
      <c r="M20" s="19">
        <v>1</v>
      </c>
      <c r="N20" s="19">
        <v>2</v>
      </c>
      <c r="O20" s="19">
        <v>3</v>
      </c>
      <c r="P20" s="21" t="s">
        <v>13</v>
      </c>
      <c r="Q20" s="19">
        <v>7</v>
      </c>
      <c r="R20" s="19">
        <v>8</v>
      </c>
      <c r="S20" s="21" t="s">
        <v>14</v>
      </c>
      <c r="T20" s="20">
        <v>58</v>
      </c>
      <c r="U20" s="20">
        <v>64</v>
      </c>
      <c r="W20" s="45" cm="1">
        <f t="array" ref="W20:X21">thematrix(A,B)</f>
        <v>58</v>
      </c>
      <c r="X20" s="45">
        <v>64</v>
      </c>
      <c r="Z20" s="27" cm="1">
        <f t="array" ref="Z20:AA21">MMULT(A,B)</f>
        <v>58</v>
      </c>
      <c r="AA20" s="27">
        <v>64</v>
      </c>
    </row>
    <row r="21" spans="13:27" x14ac:dyDescent="0.2">
      <c r="M21" s="19">
        <v>4</v>
      </c>
      <c r="N21" s="19">
        <v>5</v>
      </c>
      <c r="O21" s="19">
        <v>6</v>
      </c>
      <c r="Q21" s="19">
        <v>9</v>
      </c>
      <c r="R21" s="19">
        <v>10</v>
      </c>
      <c r="T21" s="20">
        <v>139</v>
      </c>
      <c r="U21" s="20">
        <v>154</v>
      </c>
      <c r="W21" s="45">
        <v>139</v>
      </c>
      <c r="X21" s="45">
        <v>154</v>
      </c>
      <c r="Z21" s="27">
        <v>139</v>
      </c>
      <c r="AA21" s="27">
        <v>154</v>
      </c>
    </row>
    <row r="22" spans="13:27" x14ac:dyDescent="0.2">
      <c r="Q22" s="19">
        <v>11</v>
      </c>
      <c r="R22" s="19">
        <v>12</v>
      </c>
    </row>
  </sheetData>
  <sheetProtection algorithmName="SHA-512" hashValue="4Z+guz9koFLx8DF1OonBDs9OGHQuwq3EppVW/xAagc7Ff1hl4k9DjDP38BI2UpQKaPKvAwJynl5IsTKW63M6qw==" saltValue="i/DlBGofDvKzBFW4CoMTh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A93AE-09F9-432A-8F64-335A94C0EE3D}">
  <sheetPr codeName="Sheet5"/>
  <dimension ref="BS15:DW53"/>
  <sheetViews>
    <sheetView zoomScale="50" zoomScaleNormal="50" workbookViewId="0"/>
  </sheetViews>
  <sheetFormatPr baseColWidth="10" defaultColWidth="8.83203125" defaultRowHeight="15" x14ac:dyDescent="0.2"/>
  <sheetData>
    <row r="15" spans="71:71" x14ac:dyDescent="0.2">
      <c r="BS15" s="65">
        <v>45180.643761574072</v>
      </c>
    </row>
    <row r="17" spans="74:74" x14ac:dyDescent="0.2">
      <c r="BV17" t="s">
        <v>63</v>
      </c>
    </row>
    <row r="53" spans="127:127" x14ac:dyDescent="0.2">
      <c r="DW53" t="s">
        <v>61</v>
      </c>
    </row>
  </sheetData>
  <sheetProtection algorithmName="SHA-512" hashValue="9NNQORQcRdZn/+3WfkZMpS6FuJmbB5xohm45W9XEcj95Q+ui5gqzDPRy9H672stMHOWAnZJKW6alHfYMR+HyWA==" saltValue="eO04/PaG9q9p+sZ/0KoJX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Name</vt:lpstr>
      <vt:lpstr>Columns, Average, StDev</vt:lpstr>
      <vt:lpstr>Count, ReDim, Transpose</vt:lpstr>
      <vt:lpstr>Matrix Multiplication</vt:lpstr>
      <vt:lpstr>A</vt:lpstr>
      <vt:lpstr>AB</vt:lpstr>
      <vt:lpstr>ABout</vt:lpstr>
      <vt:lpstr>B</vt:lpstr>
      <vt:lpstr>df_1</vt:lpstr>
      <vt:lpstr>df_2</vt:lpstr>
      <vt:lpstr>df_3</vt:lpstr>
      <vt:lpstr>logret</vt:lpstr>
      <vt:lpstr>logrets</vt:lpstr>
      <vt:lpstr>newname</vt:lpstr>
      <vt:lpstr>returns</vt:lpstr>
      <vt:lpstr>six_stocks</vt:lpstr>
      <vt:lpstr>Stock_Data1</vt:lpstr>
      <vt:lpstr>Stock_Data2</vt:lpstr>
      <vt:lpstr>Stock_Date1</vt:lpstr>
      <vt:lpstr>Stock_Date2</vt:lpstr>
      <vt:lpstr>Stock_Info</vt:lpstr>
      <vt:lpstr>transout1</vt:lpstr>
      <vt:lpstr>Y</vt:lpstr>
      <vt:lpstr>Z</vt:lpstr>
      <vt:lpstr>ZYout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Slava</dc:creator>
  <cp:lastModifiedBy>Grant Fullston</cp:lastModifiedBy>
  <dcterms:created xsi:type="dcterms:W3CDTF">2010-07-15T02:10:27Z</dcterms:created>
  <dcterms:modified xsi:type="dcterms:W3CDTF">2023-09-11T10:36:46Z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FC3540A">
    <vt:lpwstr>2019Semester2</vt:lpwstr>
  </property>
  <property fmtid="{D5CDD505-2E9C-101B-9397-08002B2CF9AE}" pid="3" name="BFC3540B">
    <vt:lpwstr>ÍÏÎÇ¬Î|¼</vt:lpwstr>
  </property>
  <property fmtid="{D5CDD505-2E9C-101B-9397-08002B2CF9AE}" pid="4" name="BFC3540C">
    <vt:lpwstr>ÍÏÎÇ¬Î|½¹¼ÌÊËÏ «¯</vt:lpwstr>
  </property>
  <property fmtid="{D5CDD505-2E9C-101B-9397-08002B2CF9AE}" pid="5" name="BFC3540D">
    <vt:lpwstr>ÍÏÎÇ¬Î|</vt:lpwstr>
  </property>
  <property fmtid="{D5CDD505-2E9C-101B-9397-08002B2CF9AE}" pid="6" name="BFC3540E">
    <vt:lpwstr>ÍÏÎÇ¬Î|</vt:lpwstr>
  </property>
  <property fmtid="{D5CDD505-2E9C-101B-9397-08002B2CF9AE}" pid="7" name="BFC3540F">
    <vt:lpwstr>141120</vt:lpwstr>
  </property>
</Properties>
</file>