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7" codeName="{C80E003A-6C80-AF87-3323-10F97C11A349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g/Desktop/Uni Sub/2023/Sem2/BFC3540 Financial Modelling/Week9/"/>
    </mc:Choice>
  </mc:AlternateContent>
  <xr:revisionPtr revIDLastSave="0" documentId="8_{12240E59-5270-1B4E-BFF1-C39BFE05A845}" xr6:coauthVersionLast="47" xr6:coauthVersionMax="47" xr10:uidLastSave="{00000000-0000-0000-0000-000000000000}"/>
  <bookViews>
    <workbookView xWindow="0" yWindow="500" windowWidth="28800" windowHeight="17500" activeTab="2" xr2:uid="{00000000-000D-0000-FFFF-FFFF00000000}"/>
  </bookViews>
  <sheets>
    <sheet name="Name" sheetId="3" r:id="rId1"/>
    <sheet name="varcovmatrix" sheetId="1" r:id="rId2"/>
    <sheet name="Portfolios" sheetId="2" r:id="rId3"/>
    <sheet name="other" sheetId="5" state="veryHidden" r:id="rId4"/>
  </sheets>
  <functionGroups builtInGroupCount="19"/>
  <externalReferences>
    <externalReference r:id="rId5"/>
    <externalReference r:id="rId6"/>
    <externalReference r:id="rId7"/>
  </externalReferences>
  <definedNames>
    <definedName name="â" hidden="1">other!$BC$20</definedName>
    <definedName name="CustomVariablesStoredValue">#REF!</definedName>
    <definedName name="CustomVariablesValue">#REF!</definedName>
    <definedName name="df_1">varcovmatrix!$P$38:$V$40,varcovmatrix!$P$45:$V$55,varcovmatrix!$P$57:$V$67,varcovmatrix!$P$73:$Z$79,varcovmatrix!$P$81:$Z$86,varcovmatrix!$P$92:$V$97,varcovmatrix!$P$100:$U$106</definedName>
    <definedName name="df_2">Portfolios!$K$64,Portfolios!$E$58:$M$58,Portfolios!$P$58:$Z$61,Portfolios!$E$64:$F$66,Portfolios!$K$37:$L$40</definedName>
    <definedName name="dumbass">Portfolios!$E$46:$M$54</definedName>
    <definedName name="è" hidden="1">other!$DL$58</definedName>
    <definedName name="excess">varcovmatrix!$P$45:$U$54</definedName>
    <definedName name="î" hidden="1">other!$CC$22</definedName>
    <definedName name="MatrixA">#REF!</definedName>
    <definedName name="MatrixB">#REF!</definedName>
    <definedName name="means">varcovmatrix!$P$38:$U$38</definedName>
    <definedName name="ö" hidden="1">other!$DC$28</definedName>
    <definedName name="Portfolio_Mean1">'[1]Set 1 - Task 3'!$C$19</definedName>
    <definedName name="Portfolio_Mean2">'[1]Set 2 - Task 3'!$C$19</definedName>
    <definedName name="Portfolio_Mean3">'[1]Set 3 - Task 3'!$C$19</definedName>
    <definedName name="Range1" hidden="1">other!$BD$20</definedName>
    <definedName name="Range2" hidden="1">other!$BG$22</definedName>
    <definedName name="Range3" hidden="1">other!$CT$28</definedName>
    <definedName name="Range4" hidden="1">other!$DH$58</definedName>
    <definedName name="returns">varcovmatrix!$P$14:$U$23</definedName>
    <definedName name="Stock_Data1">'[2]Columns, Average, StDev'!$B$15:$G$25</definedName>
    <definedName name="Stock_Data2">'[2]Columns, Average, StDev'!$B$45:$H$56</definedName>
    <definedName name="Stock_Date1">'[2]Columns, Average, StDev'!$A$16:$A$25</definedName>
    <definedName name="Stock_Date2">'[2]Columns, Average, StDev'!$A$46:$A$56</definedName>
    <definedName name="Stock_Info">'[2]Columns, Average, StDev'!$C$27:$D$32</definedName>
    <definedName name="Stock_Name">[3]VarCov!$C$5:$H$5</definedName>
    <definedName name="Stock1_Data">'[1]Set 1 - Task 1'!$C$6:$C$15</definedName>
    <definedName name="Stock1_Proportion">'[1]Set 1 - Task 3'!$C$14</definedName>
    <definedName name="Stock2_Data">'[1]Set 1 - Task 1'!$D$6:$D$15</definedName>
    <definedName name="Stock3_Data">'[1]Set 2 - Task 1'!$C$6:$C$15</definedName>
    <definedName name="Stock3_Proportion">'[1]Set 2 - Task 3'!$C$14</definedName>
    <definedName name="Stock4_Data">'[1]Set 2 - Task 1'!$D$6:$D$15</definedName>
    <definedName name="Stock5_Data">'[1]Set 3 - Task 1'!$C$6:$C$15</definedName>
    <definedName name="Stock5_Proportion">'[1]Set 3 - Task 3'!$C$14</definedName>
    <definedName name="Stock6_Data">'[1]Set 3 - Task 1'!$D$6:$D$15</definedName>
    <definedName name="transpose">varcovmatrix!$P$73:$Y$78</definedName>
    <definedName name="varcov">varcovmatrix!$P$92:$U$97</definedName>
    <definedName name="weights">Portfolios!$E$34:$E$42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66" i="2" l="1"/>
  <c r="E58" i="2" a="1"/>
  <c r="E58" i="2" s="1"/>
  <c r="K39" i="2"/>
  <c r="K37" i="2"/>
  <c r="P59" i="2" a="1"/>
  <c r="P100" i="1" a="1"/>
  <c r="P59" i="2" l="1"/>
  <c r="T59" i="2"/>
  <c r="X59" i="2"/>
  <c r="Q59" i="2"/>
  <c r="U59" i="2"/>
  <c r="R59" i="2"/>
  <c r="V59" i="2"/>
  <c r="S59" i="2"/>
  <c r="W59" i="2"/>
  <c r="L58" i="2"/>
  <c r="H58" i="2"/>
  <c r="F58" i="2"/>
  <c r="K58" i="2"/>
  <c r="G58" i="2"/>
  <c r="J58" i="2"/>
  <c r="M58" i="2"/>
  <c r="I58" i="2"/>
  <c r="P100" i="1"/>
  <c r="Q25" i="1" a="1"/>
  <c r="Q29" i="1" s="1"/>
  <c r="O77" i="1" s="1"/>
  <c r="O85" i="1" s="1"/>
  <c r="P44" i="1"/>
  <c r="Q44" i="1"/>
  <c r="R37" i="1"/>
  <c r="S44" i="1"/>
  <c r="T44" i="1"/>
  <c r="U44" i="1"/>
  <c r="O45" i="1"/>
  <c r="O57" i="1" s="1"/>
  <c r="O46" i="1"/>
  <c r="O58" i="1" s="1"/>
  <c r="O47" i="1"/>
  <c r="O59" i="1" s="1"/>
  <c r="O48" i="1"/>
  <c r="O60" i="1" s="1"/>
  <c r="O49" i="1"/>
  <c r="O61" i="1" s="1"/>
  <c r="O51" i="1"/>
  <c r="O63" i="1" s="1"/>
  <c r="O52" i="1"/>
  <c r="O64" i="1" s="1"/>
  <c r="O53" i="1"/>
  <c r="O65" i="1" s="1"/>
  <c r="O54" i="1"/>
  <c r="O66" i="1" s="1"/>
  <c r="O50" i="1"/>
  <c r="O62" i="1" s="1"/>
  <c r="R44" i="1"/>
  <c r="P81" i="1" a="1"/>
  <c r="P57" i="1" a="1"/>
  <c r="U39" i="1" a="1"/>
  <c r="Q39" i="1" a="1"/>
  <c r="S39" i="1" a="1"/>
  <c r="T39" i="1" a="1"/>
  <c r="R39" i="1" a="1"/>
  <c r="P39" i="1" a="1"/>
  <c r="E64" i="2" l="1" a="1"/>
  <c r="E64" i="2" s="1"/>
  <c r="S81" i="1"/>
  <c r="W81" i="1"/>
  <c r="Q82" i="1"/>
  <c r="U82" i="1"/>
  <c r="Y82" i="1"/>
  <c r="S83" i="1"/>
  <c r="W83" i="1"/>
  <c r="Q84" i="1"/>
  <c r="U84" i="1"/>
  <c r="Y84" i="1"/>
  <c r="S85" i="1"/>
  <c r="W85" i="1"/>
  <c r="Q86" i="1"/>
  <c r="U86" i="1"/>
  <c r="Y86" i="1"/>
  <c r="P81" i="1"/>
  <c r="T81" i="1"/>
  <c r="X81" i="1"/>
  <c r="R82" i="1"/>
  <c r="V82" i="1"/>
  <c r="P83" i="1"/>
  <c r="T83" i="1"/>
  <c r="X83" i="1"/>
  <c r="R84" i="1"/>
  <c r="V84" i="1"/>
  <c r="P85" i="1"/>
  <c r="T85" i="1"/>
  <c r="X85" i="1"/>
  <c r="R86" i="1"/>
  <c r="V86" i="1"/>
  <c r="U81" i="1"/>
  <c r="Y81" i="1"/>
  <c r="S82" i="1"/>
  <c r="W82" i="1"/>
  <c r="Q83" i="1"/>
  <c r="U83" i="1"/>
  <c r="Y83" i="1"/>
  <c r="S84" i="1"/>
  <c r="W84" i="1"/>
  <c r="Q85" i="1"/>
  <c r="U85" i="1"/>
  <c r="Y85" i="1"/>
  <c r="S86" i="1"/>
  <c r="W86" i="1"/>
  <c r="V81" i="1"/>
  <c r="P82" i="1"/>
  <c r="T82" i="1"/>
  <c r="X82" i="1"/>
  <c r="R83" i="1"/>
  <c r="V83" i="1"/>
  <c r="P84" i="1"/>
  <c r="T84" i="1"/>
  <c r="X84" i="1"/>
  <c r="R85" i="1"/>
  <c r="V85" i="1"/>
  <c r="P86" i="1"/>
  <c r="T86" i="1"/>
  <c r="X86" i="1"/>
  <c r="Q81" i="1"/>
  <c r="R81" i="1"/>
  <c r="S57" i="1"/>
  <c r="Q58" i="1"/>
  <c r="U58" i="1"/>
  <c r="S59" i="1"/>
  <c r="Q60" i="1"/>
  <c r="U60" i="1"/>
  <c r="S61" i="1"/>
  <c r="Q62" i="1"/>
  <c r="U62" i="1"/>
  <c r="S63" i="1"/>
  <c r="Q64" i="1"/>
  <c r="U64" i="1"/>
  <c r="S65" i="1"/>
  <c r="Q66" i="1"/>
  <c r="U66" i="1"/>
  <c r="P57" i="1"/>
  <c r="T57" i="1"/>
  <c r="R58" i="1"/>
  <c r="P59" i="1"/>
  <c r="T59" i="1"/>
  <c r="R60" i="1"/>
  <c r="P61" i="1"/>
  <c r="T61" i="1"/>
  <c r="R62" i="1"/>
  <c r="P63" i="1"/>
  <c r="T63" i="1"/>
  <c r="R64" i="1"/>
  <c r="P65" i="1"/>
  <c r="T65" i="1"/>
  <c r="R66" i="1"/>
  <c r="Q57" i="1"/>
  <c r="U57" i="1"/>
  <c r="S58" i="1"/>
  <c r="Q59" i="1"/>
  <c r="U59" i="1"/>
  <c r="S60" i="1"/>
  <c r="Q61" i="1"/>
  <c r="U61" i="1"/>
  <c r="S62" i="1"/>
  <c r="Q63" i="1"/>
  <c r="U63" i="1"/>
  <c r="S64" i="1"/>
  <c r="Q65" i="1"/>
  <c r="U65" i="1"/>
  <c r="S66" i="1"/>
  <c r="R57" i="1"/>
  <c r="P58" i="1"/>
  <c r="T58" i="1"/>
  <c r="R59" i="1"/>
  <c r="P60" i="1"/>
  <c r="T60" i="1"/>
  <c r="R61" i="1"/>
  <c r="P62" i="1"/>
  <c r="T62" i="1"/>
  <c r="R63" i="1"/>
  <c r="P64" i="1"/>
  <c r="T64" i="1"/>
  <c r="R65" i="1"/>
  <c r="P66" i="1"/>
  <c r="T66" i="1"/>
  <c r="U39" i="1"/>
  <c r="R39" i="1"/>
  <c r="T39" i="1"/>
  <c r="S39" i="1"/>
  <c r="Q39" i="1"/>
  <c r="P39" i="1"/>
  <c r="Q27" i="1"/>
  <c r="O75" i="1" s="1"/>
  <c r="O83" i="1" s="1"/>
  <c r="Q25" i="1"/>
  <c r="O73" i="1" s="1"/>
  <c r="O92" i="1" s="1"/>
  <c r="O100" i="1" s="1"/>
  <c r="Q26" i="1"/>
  <c r="O74" i="1" s="1"/>
  <c r="O93" i="1" s="1"/>
  <c r="O101" i="1" s="1"/>
  <c r="Q28" i="1"/>
  <c r="O76" i="1" s="1"/>
  <c r="O84" i="1" s="1"/>
  <c r="Q30" i="1"/>
  <c r="O78" i="1" s="1"/>
  <c r="O97" i="1" s="1"/>
  <c r="O105" i="1" s="1"/>
  <c r="O96" i="1"/>
  <c r="O104" i="1" s="1"/>
  <c r="P72" i="1" a="1"/>
  <c r="S91" i="1"/>
  <c r="S99" i="1" s="1"/>
  <c r="S56" i="1"/>
  <c r="T91" i="1"/>
  <c r="T99" i="1" s="1"/>
  <c r="T56" i="1"/>
  <c r="U91" i="1"/>
  <c r="U99" i="1" s="1"/>
  <c r="U56" i="1"/>
  <c r="R91" i="1"/>
  <c r="R99" i="1" s="1"/>
  <c r="R56" i="1"/>
  <c r="P91" i="1"/>
  <c r="P99" i="1" s="1"/>
  <c r="P56" i="1"/>
  <c r="Q91" i="1"/>
  <c r="Q99" i="1" s="1"/>
  <c r="Q56" i="1"/>
  <c r="T37" i="1"/>
  <c r="P37" i="1"/>
  <c r="Q37" i="1"/>
  <c r="S37" i="1"/>
  <c r="U37" i="1"/>
  <c r="O94" i="1" l="1"/>
  <c r="O102" i="1" s="1"/>
  <c r="O82" i="1"/>
  <c r="O81" i="1"/>
  <c r="O95" i="1"/>
  <c r="O103" i="1" s="1"/>
  <c r="O86" i="1"/>
  <c r="T72" i="1"/>
  <c r="T80" i="1" s="1"/>
  <c r="R72" i="1"/>
  <c r="R80" i="1" s="1"/>
  <c r="Q72" i="1"/>
  <c r="Q80" i="1" s="1"/>
  <c r="Y72" i="1"/>
  <c r="Y80" i="1" s="1"/>
  <c r="W72" i="1"/>
  <c r="W80" i="1" s="1"/>
  <c r="V72" i="1"/>
  <c r="V80" i="1" s="1"/>
  <c r="U72" i="1"/>
  <c r="U80" i="1" s="1"/>
  <c r="X72" i="1"/>
  <c r="X80" i="1" s="1"/>
  <c r="S72" i="1"/>
  <c r="S80" i="1" s="1"/>
  <c r="P72" i="1"/>
  <c r="P80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<sst xmlns="http://schemas.openxmlformats.org/spreadsheetml/2006/main" count="59" uniqueCount="56">
  <si>
    <t>Variance-Covariance Calculations</t>
  </si>
  <si>
    <t>Given:</t>
  </si>
  <si>
    <t>Problem 1</t>
  </si>
  <si>
    <t>Problem 2</t>
  </si>
  <si>
    <t>Problem 3</t>
  </si>
  <si>
    <t>Problem 4</t>
  </si>
  <si>
    <t>Name:</t>
  </si>
  <si>
    <r>
      <t xml:space="preserve">Write a macro </t>
    </r>
    <r>
      <rPr>
        <sz val="10"/>
        <rFont val="Arial"/>
        <family val="2"/>
      </rPr>
      <t>to calculate the mean return of each stock</t>
    </r>
  </si>
  <si>
    <r>
      <t>Write a macro</t>
    </r>
    <r>
      <rPr>
        <sz val="10"/>
        <rFont val="Arial"/>
        <family val="2"/>
      </rPr>
      <t xml:space="preserve"> to calculate the excess-return matrix</t>
    </r>
  </si>
  <si>
    <r>
      <t>Write a macro</t>
    </r>
    <r>
      <rPr>
        <sz val="10"/>
        <rFont val="Arial"/>
        <family val="2"/>
      </rPr>
      <t xml:space="preserve"> to calculate the variance-covariance matrix</t>
    </r>
  </si>
  <si>
    <r>
      <rPr>
        <b/>
        <sz val="11"/>
        <color theme="1"/>
        <rFont val="Symbol"/>
        <family val="1"/>
        <charset val="2"/>
      </rPr>
      <t>s</t>
    </r>
    <r>
      <rPr>
        <b/>
        <vertAlign val="subscript"/>
        <sz val="11"/>
        <color theme="1"/>
        <rFont val="Calibri"/>
        <family val="2"/>
        <scheme val="minor"/>
      </rPr>
      <t>p</t>
    </r>
    <r>
      <rPr>
        <b/>
        <sz val="11"/>
        <color theme="1"/>
        <rFont val="Calibri"/>
        <family val="2"/>
        <scheme val="minor"/>
      </rPr>
      <t>-Excel</t>
    </r>
  </si>
  <si>
    <t>Hint: Multiply your previous result by w. Don't forget to take the square root of the product!</t>
  </si>
  <si>
    <r>
      <t>SQRT(w</t>
    </r>
    <r>
      <rPr>
        <b/>
        <vertAlign val="superscript"/>
        <sz val="11"/>
        <color theme="1"/>
        <rFont val="Calibri"/>
        <family val="2"/>
        <scheme val="minor"/>
      </rPr>
      <t>T</t>
    </r>
    <r>
      <rPr>
        <b/>
        <sz val="11"/>
        <color theme="1"/>
        <rFont val="Symbol"/>
        <family val="1"/>
        <charset val="2"/>
      </rPr>
      <t>S</t>
    </r>
    <r>
      <rPr>
        <b/>
        <sz val="11"/>
        <color theme="1"/>
        <rFont val="Calibri"/>
        <family val="2"/>
        <scheme val="minor"/>
      </rPr>
      <t>w)</t>
    </r>
  </si>
  <si>
    <t xml:space="preserve">Step 2: </t>
  </si>
  <si>
    <t>Excel Prototype</t>
  </si>
  <si>
    <r>
      <t>w</t>
    </r>
    <r>
      <rPr>
        <b/>
        <vertAlign val="superscript"/>
        <sz val="11"/>
        <color theme="1"/>
        <rFont val="Calibri"/>
        <family val="2"/>
        <scheme val="minor"/>
      </rPr>
      <t>T</t>
    </r>
    <r>
      <rPr>
        <b/>
        <sz val="11"/>
        <color theme="1"/>
        <rFont val="Symbol"/>
        <family val="1"/>
        <charset val="2"/>
      </rPr>
      <t>S</t>
    </r>
  </si>
  <si>
    <t>Step 1:</t>
  </si>
  <si>
    <t>S</t>
  </si>
  <si>
    <r>
      <t xml:space="preserve">Your second task is to find the standard deviation of the above 9 asset portfolio, where </t>
    </r>
    <r>
      <rPr>
        <b/>
        <sz val="11"/>
        <color theme="1"/>
        <rFont val="Symbol"/>
        <family val="1"/>
        <charset val="2"/>
      </rPr>
      <t xml:space="preserve">S </t>
    </r>
    <r>
      <rPr>
        <b/>
        <sz val="11"/>
        <color theme="1"/>
        <rFont val="Calibri"/>
        <family val="2"/>
        <scheme val="minor"/>
      </rPr>
      <t>is given below.</t>
    </r>
  </si>
  <si>
    <t>R</t>
  </si>
  <si>
    <t>w</t>
  </si>
  <si>
    <t>E[R] - Excel</t>
  </si>
  <si>
    <t>Your first task is to find the expected return of the following 9 asset portfolio, where:</t>
  </si>
  <si>
    <t>REMEMBER THE ORDER OF MULTIPLICATION IS VERY IMPORTANT WHEN DEALING WITH MATRICIES</t>
  </si>
  <si>
    <t>If we write the formulas for expected return and standard deviation using matrix notation we obtain:</t>
  </si>
  <si>
    <r>
      <t xml:space="preserve">Matrix multiplication has many uses in finance, including finding the mean return and standard deviation of an </t>
    </r>
    <r>
      <rPr>
        <b/>
        <i/>
        <sz val="11"/>
        <color theme="1"/>
        <rFont val="Calibri"/>
        <family val="2"/>
        <scheme val="minor"/>
      </rPr>
      <t>n</t>
    </r>
    <r>
      <rPr>
        <b/>
        <sz val="11"/>
        <color theme="1"/>
        <rFont val="Calibri"/>
        <family val="2"/>
        <scheme val="minor"/>
      </rPr>
      <t xml:space="preserve"> asset portfolio</t>
    </r>
  </si>
  <si>
    <r>
      <t xml:space="preserve">Here, w is a 1xN matrix holding the proportion of your portfolio invested in each of the N assets. R is a 1xN matrix holding the return of each of the N assets. Finally, </t>
    </r>
    <r>
      <rPr>
        <b/>
        <sz val="11"/>
        <color theme="1"/>
        <rFont val="Symbol"/>
        <family val="1"/>
        <charset val="2"/>
      </rPr>
      <t xml:space="preserve">S </t>
    </r>
    <r>
      <rPr>
        <b/>
        <sz val="11"/>
        <color theme="1"/>
        <rFont val="Calibri"/>
        <family val="2"/>
        <scheme val="minor"/>
      </rPr>
      <t>is an NxN Variance-Covariance Matrix</t>
    </r>
  </si>
  <si>
    <t xml:space="preserve">You will work through an example of how the VarCov matrix can be used in practice. Don't forget that superscript T stands for the transpose of a matrix </t>
  </si>
  <si>
    <t xml:space="preserve">Imagine if you were instead asked to find the standard deviation of the above 9 asset portfolios without using matrix multiplication and the VarCov matrix! </t>
  </si>
  <si>
    <t>Hopefully this simple example demonstrates how useful matrices can be in practice.</t>
  </si>
  <si>
    <t>Authcate:</t>
  </si>
  <si>
    <t>Weekly returns for six stocks</t>
  </si>
  <si>
    <t>Subroutine</t>
  </si>
  <si>
    <t>Function</t>
  </si>
  <si>
    <t>E[R] - Subroutine</t>
  </si>
  <si>
    <t>E[R] - Function</t>
  </si>
  <si>
    <r>
      <rPr>
        <b/>
        <sz val="11"/>
        <color theme="1"/>
        <rFont val="Symbol"/>
        <family val="1"/>
        <charset val="2"/>
      </rPr>
      <t>s</t>
    </r>
    <r>
      <rPr>
        <b/>
        <vertAlign val="subscript"/>
        <sz val="11"/>
        <color theme="1"/>
        <rFont val="Calibri"/>
        <family val="2"/>
        <scheme val="minor"/>
      </rPr>
      <t>p</t>
    </r>
    <r>
      <rPr>
        <b/>
        <sz val="11"/>
        <color theme="1"/>
        <rFont val="Calibri"/>
        <family val="2"/>
        <scheme val="minor"/>
      </rPr>
      <t>-Subroutine</t>
    </r>
  </si>
  <si>
    <r>
      <rPr>
        <b/>
        <sz val="11"/>
        <color theme="1"/>
        <rFont val="Symbol"/>
        <family val="1"/>
        <charset val="2"/>
      </rPr>
      <t>s</t>
    </r>
    <r>
      <rPr>
        <b/>
        <vertAlign val="subscript"/>
        <sz val="11"/>
        <color theme="1"/>
        <rFont val="Calibri"/>
        <family val="2"/>
        <scheme val="minor"/>
      </rPr>
      <t>p</t>
    </r>
    <r>
      <rPr>
        <b/>
        <sz val="11"/>
        <color theme="1"/>
        <rFont val="Calibri"/>
        <family val="2"/>
        <scheme val="minor"/>
      </rPr>
      <t>-Function</t>
    </r>
  </si>
  <si>
    <r>
      <t>Write a macro</t>
    </r>
    <r>
      <rPr>
        <sz val="10"/>
        <rFont val="Arial"/>
        <family val="2"/>
      </rPr>
      <t xml:space="preserve"> to transpose the excess-return matrix (Remember: Divide by the number of weeks)</t>
    </r>
  </si>
  <si>
    <t>File:</t>
  </si>
  <si>
    <t>VBA5</t>
  </si>
  <si>
    <t>XASX:GEM</t>
  </si>
  <si>
    <t>XASX:JIN</t>
  </si>
  <si>
    <t>XASX:ACL</t>
  </si>
  <si>
    <t>XASX:MVF</t>
  </si>
  <si>
    <t>XASX:BCB</t>
  </si>
  <si>
    <t>XASX:PLS</t>
  </si>
  <si>
    <t>G8 EDUCATION LIMITED</t>
  </si>
  <si>
    <t>JUMBO INTERACTIVE LIMITED</t>
  </si>
  <si>
    <t>Australian Clinical Labs Ltd</t>
  </si>
  <si>
    <t>MONASH IVF GROUP LIMITED</t>
  </si>
  <si>
    <t>BOWEN COKING COAL LIMITED</t>
  </si>
  <si>
    <t>PILBARA MINERALS LIMITED</t>
  </si>
  <si>
    <t>xse3rgx9poZJpGVmQkUY3pmf1xOoIPKYctJLWicBTqEbUHt4428rirRggz36wQiaHvyMu0GTs8sc9ZY5j4nsNs6yKHi8bSNbvDdOZ1vUW9XenbDNOMSu2Al0zINQGk2taFHgEJaWBRwwScrPmOqChCPIeKl</t>
  </si>
  <si>
    <t>Grant080201</t>
  </si>
  <si>
    <t>gful0002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</si>
</sst>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"/>
  </numFmts>
  <fonts count="15" x14ac:knownFonts="1">
    <font>
      <sz val="11"/>
      <color theme="1"/>
      <name val="Calibri"/>
      <family val="2"/>
      <scheme val="minor"/>
    </font>
    <font>
      <b/>
      <sz val="14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8"/>
      <name val="Calibri"/>
      <family val="2"/>
    </font>
    <font>
      <sz val="12"/>
      <name val="Arial"/>
      <family val="2"/>
    </font>
    <font>
      <u/>
      <sz val="11"/>
      <color theme="10"/>
      <name val="Calibri"/>
      <family val="2"/>
    </font>
    <font>
      <b/>
      <sz val="11"/>
      <color theme="1"/>
      <name val="Calibri"/>
      <family val="2"/>
      <scheme val="minor"/>
    </font>
    <font>
      <b/>
      <sz val="11"/>
      <color theme="1"/>
      <name val="Symbol"/>
      <family val="1"/>
      <charset val="2"/>
    </font>
    <font>
      <b/>
      <vertAlign val="subscript"/>
      <sz val="11"/>
      <color theme="1"/>
      <name val="Calibri"/>
      <family val="2"/>
      <scheme val="minor"/>
    </font>
    <font>
      <b/>
      <vertAlign val="superscript"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222222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5">
    <xf numFmtId="0" fontId="0" fillId="0" borderId="0"/>
    <xf numFmtId="0" fontId="6" fillId="0" borderId="0" applyNumberFormat="0" applyFill="0" applyBorder="0" applyAlignment="0" applyProtection="0">
      <alignment vertical="top"/>
      <protection locked="0"/>
    </xf>
    <xf numFmtId="0" fontId="6" fillId="0" borderId="0" applyNumberFormat="0" applyFill="0" applyBorder="0" applyAlignment="0" applyProtection="0">
      <alignment vertical="top"/>
      <protection locked="0"/>
    </xf>
    <xf numFmtId="0" fontId="3" fillId="0" borderId="0"/>
    <xf numFmtId="9" fontId="3" fillId="0" borderId="0" applyFont="0" applyFill="0" applyBorder="0" applyAlignment="0" applyProtection="0"/>
  </cellStyleXfs>
  <cellXfs count="47">
    <xf numFmtId="0" fontId="0" fillId="0" borderId="0" xfId="0"/>
    <xf numFmtId="0" fontId="1" fillId="0" borderId="0" xfId="0" applyFont="1"/>
    <xf numFmtId="0" fontId="2" fillId="0" borderId="0" xfId="0" applyFont="1" applyAlignment="1">
      <alignment horizontal="centerContinuous"/>
    </xf>
    <xf numFmtId="0" fontId="2" fillId="0" borderId="1" xfId="0" applyFont="1" applyBorder="1" applyAlignment="1">
      <alignment horizontal="left"/>
    </xf>
    <xf numFmtId="0" fontId="0" fillId="0" borderId="2" xfId="0" applyBorder="1" applyAlignment="1">
      <alignment horizontal="centerContinuous"/>
    </xf>
    <xf numFmtId="0" fontId="0" fillId="0" borderId="3" xfId="0" applyBorder="1" applyAlignment="1">
      <alignment horizontal="centerContinuous"/>
    </xf>
    <xf numFmtId="0" fontId="0" fillId="0" borderId="4" xfId="0" applyBorder="1"/>
    <xf numFmtId="0" fontId="0" fillId="0" borderId="0" xfId="0" applyAlignment="1">
      <alignment horizontal="centerContinuous"/>
    </xf>
    <xf numFmtId="0" fontId="0" fillId="0" borderId="5" xfId="0" applyBorder="1"/>
    <xf numFmtId="0" fontId="2" fillId="0" borderId="0" xfId="0" applyFont="1"/>
    <xf numFmtId="164" fontId="2" fillId="0" borderId="0" xfId="0" applyNumberFormat="1" applyFont="1"/>
    <xf numFmtId="0" fontId="3" fillId="0" borderId="5" xfId="0" applyFont="1" applyBorder="1" applyAlignment="1">
      <alignment horizontal="center"/>
    </xf>
    <xf numFmtId="0" fontId="2" fillId="0" borderId="0" xfId="0" applyFont="1" applyAlignment="1">
      <alignment horizontal="center"/>
    </xf>
    <xf numFmtId="0" fontId="2" fillId="0" borderId="4" xfId="0" applyFont="1" applyBorder="1" applyAlignment="1">
      <alignment horizontal="center"/>
    </xf>
    <xf numFmtId="164" fontId="0" fillId="0" borderId="0" xfId="0" applyNumberFormat="1" applyAlignment="1">
      <alignment horizontal="center"/>
    </xf>
    <xf numFmtId="164" fontId="0" fillId="0" borderId="5" xfId="0" applyNumberFormat="1" applyBorder="1" applyAlignment="1">
      <alignment horizontal="center"/>
    </xf>
    <xf numFmtId="164" fontId="0" fillId="0" borderId="0" xfId="0" applyNumberFormat="1" applyAlignment="1">
      <alignment horizontal="left"/>
    </xf>
    <xf numFmtId="0" fontId="2" fillId="0" borderId="6" xfId="0" applyFont="1" applyBorder="1" applyAlignment="1">
      <alignment horizontal="center"/>
    </xf>
    <xf numFmtId="164" fontId="0" fillId="0" borderId="7" xfId="0" applyNumberFormat="1" applyBorder="1" applyAlignment="1">
      <alignment horizontal="center"/>
    </xf>
    <xf numFmtId="164" fontId="0" fillId="0" borderId="7" xfId="0" applyNumberFormat="1" applyBorder="1" applyAlignment="1">
      <alignment horizontal="left"/>
    </xf>
    <xf numFmtId="164" fontId="0" fillId="0" borderId="8" xfId="0" applyNumberFormat="1" applyBorder="1" applyAlignment="1">
      <alignment horizontal="center"/>
    </xf>
    <xf numFmtId="0" fontId="0" fillId="2" borderId="0" xfId="0" applyFill="1"/>
    <xf numFmtId="0" fontId="5" fillId="2" borderId="0" xfId="0" applyFont="1" applyFill="1"/>
    <xf numFmtId="0" fontId="0" fillId="0" borderId="0" xfId="0" applyAlignment="1">
      <alignment horizontal="center"/>
    </xf>
    <xf numFmtId="0" fontId="0" fillId="3" borderId="0" xfId="0" applyFill="1" applyAlignment="1">
      <alignment horizontal="center"/>
    </xf>
    <xf numFmtId="0" fontId="7" fillId="0" borderId="0" xfId="0" applyFont="1"/>
    <xf numFmtId="0" fontId="7" fillId="0" borderId="0" xfId="0" applyFont="1" applyAlignment="1">
      <alignment horizontal="center"/>
    </xf>
    <xf numFmtId="164" fontId="0" fillId="3" borderId="0" xfId="0" applyNumberFormat="1" applyFill="1"/>
    <xf numFmtId="164" fontId="0" fillId="0" borderId="9" xfId="0" applyNumberFormat="1" applyBorder="1" applyAlignment="1">
      <alignment horizontal="center"/>
    </xf>
    <xf numFmtId="0" fontId="8" fillId="0" borderId="0" xfId="0" applyFont="1" applyAlignment="1">
      <alignment horizontal="center"/>
    </xf>
    <xf numFmtId="0" fontId="7" fillId="0" borderId="0" xfId="0" applyFont="1" applyAlignment="1">
      <alignment horizontal="left"/>
    </xf>
    <xf numFmtId="0" fontId="11" fillId="0" borderId="0" xfId="0" applyFont="1"/>
    <xf numFmtId="0" fontId="13" fillId="0" borderId="0" xfId="0" applyFont="1"/>
    <xf numFmtId="0" fontId="0" fillId="4" borderId="0" xfId="0" applyFill="1" applyAlignment="1" applyProtection="1">
      <alignment horizontal="center"/>
      <protection locked="0"/>
    </xf>
    <xf numFmtId="164" fontId="0" fillId="4" borderId="0" xfId="0" applyNumberFormat="1" applyFill="1" applyAlignment="1" applyProtection="1">
      <alignment horizontal="center"/>
      <protection locked="0"/>
    </xf>
    <xf numFmtId="14" fontId="2" fillId="0" borderId="4" xfId="0" applyNumberFormat="1" applyFont="1" applyBorder="1"/>
    <xf numFmtId="14" fontId="2" fillId="0" borderId="4" xfId="0" applyNumberFormat="1" applyFont="1" applyBorder="1" applyAlignment="1">
      <alignment horizontal="center"/>
    </xf>
    <xf numFmtId="14" fontId="2" fillId="0" borderId="0" xfId="0" applyNumberFormat="1" applyFont="1" applyAlignment="1">
      <alignment horizontal="center"/>
    </xf>
    <xf numFmtId="14" fontId="0" fillId="0" borderId="0" xfId="0" applyNumberFormat="1"/>
    <xf numFmtId="14" fontId="7" fillId="0" borderId="0" xfId="0" applyNumberFormat="1" applyFont="1"/>
    <xf numFmtId="0" fontId="14" fillId="0" borderId="0" xfId="0" applyFont="1"/>
    <xf numFmtId="164" fontId="3" fillId="3" borderId="0" xfId="0" applyNumberFormat="1" applyFont="1" applyFill="1"/>
    <xf numFmtId="164" fontId="3" fillId="2" borderId="0" xfId="0" applyNumberFormat="1" applyFont="1" applyFill="1" applyProtection="1">
      <protection locked="0"/>
    </xf>
    <xf numFmtId="0" fontId="0" fillId="2" borderId="0" xfId="0" applyFill="1" applyAlignment="1" applyProtection="1">
      <alignment horizontal="center"/>
      <protection locked="0"/>
    </xf>
    <xf numFmtId="0" fontId="0" fillId="2" borderId="0" xfId="0" applyFill="1" applyProtection="1">
      <protection locked="0"/>
    </xf>
    <xf numFmtId="0" fontId="6" fillId="2" borderId="0" xfId="1" applyFill="1" applyAlignment="1" applyProtection="1"/>
    <xf numFmtId="22" fontId="0" fillId="0" borderId="0" xfId="0" applyNumberFormat="1"/>
  </cellXfs>
  <cellStyles count="5">
    <cellStyle name="Hyperlink" xfId="1" builtinId="8"/>
    <cellStyle name="Hyperlink 2" xfId="2" xr:uid="{00000000-0005-0000-0000-000001000000}"/>
    <cellStyle name="Normal" xfId="0" builtinId="0"/>
    <cellStyle name="Normal 2" xfId="3" xr:uid="{00000000-0005-0000-0000-000003000000}"/>
    <cellStyle name="Percent 2" xfId="4" xr:uid="{00000000-0005-0000-0000-000004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3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2.xml"/><Relationship Id="rId11" Type="http://schemas.openxmlformats.org/officeDocument/2006/relationships/sheetMetadata" Target="metadata.xml"/><Relationship Id="rId5" Type="http://schemas.openxmlformats.org/officeDocument/2006/relationships/externalLink" Target="externalLinks/externalLink1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581025</xdr:colOff>
      <xdr:row>21</xdr:row>
      <xdr:rowOff>0</xdr:rowOff>
    </xdr:from>
    <xdr:to>
      <xdr:col>9</xdr:col>
      <xdr:colOff>733425</xdr:colOff>
      <xdr:row>25</xdr:row>
      <xdr:rowOff>95250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19425" y="762000"/>
          <a:ext cx="1876425" cy="8572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/Work/BFC3540%20S1_2018/Slave%20SS%20-%20No%20Code/W1SS_Slave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/Users/imdin/Google%20Drive/People/Paul%20Lajbcygier/BFC3540%20Master%20Slave/Input_UG/W3VBA_Slave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/Work/BFC3540%20S1_2018/Slave%20SS%20-%20No%20Code/W3SS_Slave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Name"/>
      <sheetName val="Set 1 - Task 1"/>
      <sheetName val="Set 2 - Task 1"/>
      <sheetName val="Set 3 - Task 1"/>
      <sheetName val="Set 1 - Task 2"/>
      <sheetName val="Set 2 - Task 2"/>
      <sheetName val="Set 3 - Task 2"/>
      <sheetName val="Set 1 - Task 3"/>
      <sheetName val="Set 2 - Task 3"/>
      <sheetName val="Set 3 - Task 3"/>
      <sheetName val="Set 1 - Task 4"/>
      <sheetName val="Set 2 - Task 4"/>
      <sheetName val="Set 3 - Task 4"/>
      <sheetName val="Task 5"/>
      <sheetName val="CustomVariables"/>
    </sheetNames>
    <sheetDataSet>
      <sheetData sheetId="0"/>
      <sheetData sheetId="1">
        <row r="5">
          <cell r="C5" t="str">
            <v>PLS</v>
          </cell>
        </row>
        <row r="6">
          <cell r="C6">
            <v>0.21205871888971681</v>
          </cell>
          <cell r="D6">
            <v>1.8182319083190547E-2</v>
          </cell>
        </row>
        <row r="7">
          <cell r="C7">
            <v>2.5158559636154931E-2</v>
          </cell>
          <cell r="D7">
            <v>-3.0490166757787276E-2</v>
          </cell>
        </row>
        <row r="8">
          <cell r="C8">
            <v>-7.0769070888207261E-2</v>
          </cell>
          <cell r="D8">
            <v>-1.2461220437812002E-2</v>
          </cell>
        </row>
        <row r="9">
          <cell r="C9">
            <v>3.9220713153281329E-2</v>
          </cell>
          <cell r="D9">
            <v>8.1247672272879781E-2</v>
          </cell>
        </row>
        <row r="10">
          <cell r="C10">
            <v>8.0042707673536356E-2</v>
          </cell>
          <cell r="D10">
            <v>4.2439183275156722E-2</v>
          </cell>
        </row>
        <row r="11">
          <cell r="C11">
            <v>0.1931112642153347</v>
          </cell>
          <cell r="D11">
            <v>-7.1766798369676685E-2</v>
          </cell>
        </row>
        <row r="12">
          <cell r="C12">
            <v>-0.10265415406008321</v>
          </cell>
          <cell r="D12">
            <v>-1.8018505502678365E-2</v>
          </cell>
        </row>
        <row r="13">
          <cell r="C13">
            <v>5.2643733485421881E-2</v>
          </cell>
          <cell r="D13">
            <v>3.5718082602079246E-2</v>
          </cell>
        </row>
        <row r="14">
          <cell r="C14">
            <v>5.4876610225834302E-2</v>
          </cell>
          <cell r="D14">
            <v>-6.3369613932589261E-2</v>
          </cell>
        </row>
        <row r="15">
          <cell r="C15">
            <v>-8.0852096629095024E-2</v>
          </cell>
          <cell r="D15">
            <v>3.1104224143925518E-3</v>
          </cell>
        </row>
      </sheetData>
      <sheetData sheetId="2">
        <row r="5">
          <cell r="C5" t="str">
            <v>AMP</v>
          </cell>
        </row>
        <row r="6">
          <cell r="C6">
            <v>-8.3160562416575053E-3</v>
          </cell>
          <cell r="D6">
            <v>-1.4750809758148253E-2</v>
          </cell>
        </row>
        <row r="7">
          <cell r="C7">
            <v>5.0875670660453405E-2</v>
          </cell>
          <cell r="D7">
            <v>1.8190194060057709E-2</v>
          </cell>
        </row>
        <row r="8">
          <cell r="C8">
            <v>7.9051795071132473E-3</v>
          </cell>
          <cell r="D8">
            <v>2.2072203355499215E-2</v>
          </cell>
        </row>
        <row r="9">
          <cell r="C9">
            <v>-2.390552085355448E-2</v>
          </cell>
          <cell r="D9">
            <v>8.3612527246834031E-3</v>
          </cell>
        </row>
        <row r="10">
          <cell r="C10">
            <v>1.798250255043227E-2</v>
          </cell>
          <cell r="D10">
            <v>-7.6994347269455921E-2</v>
          </cell>
        </row>
        <row r="11">
          <cell r="C11">
            <v>2.3484445233069327E-2</v>
          </cell>
          <cell r="D11">
            <v>-1.8001805041478545E-3</v>
          </cell>
        </row>
        <row r="12">
          <cell r="C12">
            <v>-7.7670293376596589E-3</v>
          </cell>
          <cell r="D12">
            <v>-9.0130695601277572E-4</v>
          </cell>
        </row>
        <row r="13">
          <cell r="C13">
            <v>0</v>
          </cell>
          <cell r="D13">
            <v>1.6100526689409138E-2</v>
          </cell>
        </row>
        <row r="14">
          <cell r="C14">
            <v>5.8309203107931437E-3</v>
          </cell>
          <cell r="D14">
            <v>5.1027065517894481E-2</v>
          </cell>
        </row>
        <row r="15">
          <cell r="C15">
            <v>1.347469858336019E-2</v>
          </cell>
          <cell r="D15">
            <v>-3.1694301708914976E-2</v>
          </cell>
        </row>
      </sheetData>
      <sheetData sheetId="3">
        <row r="5">
          <cell r="C5" t="str">
            <v>LLC</v>
          </cell>
        </row>
        <row r="6">
          <cell r="C6">
            <v>2.1529896524668985E-2</v>
          </cell>
          <cell r="D6">
            <v>-1.0230268250814922E-2</v>
          </cell>
        </row>
        <row r="7">
          <cell r="C7">
            <v>1.1403925146579941E-2</v>
          </cell>
          <cell r="D7">
            <v>1.2771565679487539E-2</v>
          </cell>
        </row>
        <row r="8">
          <cell r="C8">
            <v>-0.10045297094695781</v>
          </cell>
          <cell r="D8">
            <v>2.2585652648749288E-2</v>
          </cell>
        </row>
        <row r="9">
          <cell r="C9">
            <v>-4.1878613404747406E-3</v>
          </cell>
          <cell r="D9">
            <v>0</v>
          </cell>
        </row>
        <row r="10">
          <cell r="C10">
            <v>-1.8149379555740097E-2</v>
          </cell>
          <cell r="D10">
            <v>0</v>
          </cell>
        </row>
        <row r="11">
          <cell r="C11">
            <v>1.2136132332288337E-2</v>
          </cell>
          <cell r="D11">
            <v>3.8934357975454685E-2</v>
          </cell>
        </row>
        <row r="12">
          <cell r="C12">
            <v>-2.0719814973616985E-2</v>
          </cell>
          <cell r="D12">
            <v>-1.4423326961105052E-2</v>
          </cell>
        </row>
        <row r="13">
          <cell r="C13">
            <v>-1.176854746280483E-2</v>
          </cell>
          <cell r="D13">
            <v>1.4423326961105125E-2</v>
          </cell>
        </row>
        <row r="14">
          <cell r="C14">
            <v>-6.8771139086579759E-3</v>
          </cell>
          <cell r="D14">
            <v>9.5012591241402152E-3</v>
          </cell>
        </row>
        <row r="15">
          <cell r="C15">
            <v>9.9875986283484118E-3</v>
          </cell>
          <cell r="D15">
            <v>-2.3668650102662793E-3</v>
          </cell>
        </row>
      </sheetData>
      <sheetData sheetId="4"/>
      <sheetData sheetId="5"/>
      <sheetData sheetId="6"/>
      <sheetData sheetId="7">
        <row r="14">
          <cell r="C14">
            <v>0.5</v>
          </cell>
        </row>
        <row r="19">
          <cell r="C19"/>
        </row>
      </sheetData>
      <sheetData sheetId="8">
        <row r="14">
          <cell r="C14">
            <v>0.5</v>
          </cell>
        </row>
        <row r="19">
          <cell r="C19"/>
        </row>
      </sheetData>
      <sheetData sheetId="9">
        <row r="14">
          <cell r="C14">
            <v>0.5</v>
          </cell>
        </row>
        <row r="19">
          <cell r="C19"/>
        </row>
      </sheetData>
      <sheetData sheetId="10"/>
      <sheetData sheetId="11"/>
      <sheetData sheetId="12"/>
      <sheetData sheetId="13"/>
      <sheetData sheetId="14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Name"/>
      <sheetName val="Columns, Average, StDev"/>
      <sheetName val="Count, ReDim, Transpose"/>
      <sheetName val="Matrix Multiplication"/>
      <sheetName val="CustomVariables"/>
    </sheetNames>
    <sheetDataSet>
      <sheetData sheetId="0"/>
      <sheetData sheetId="1">
        <row r="15">
          <cell r="B15" t="str">
            <v>PME</v>
          </cell>
          <cell r="C15" t="str">
            <v>RMD</v>
          </cell>
          <cell r="D15" t="str">
            <v>APX</v>
          </cell>
          <cell r="E15" t="str">
            <v>APT</v>
          </cell>
          <cell r="F15" t="str">
            <v>QBE</v>
          </cell>
          <cell r="G15" t="str">
            <v>ANZ</v>
          </cell>
        </row>
        <row r="16">
          <cell r="A16">
            <v>43541</v>
          </cell>
          <cell r="B16">
            <v>4.8790106097421147E-2</v>
          </cell>
          <cell r="C16">
            <v>7.7711447248867416E-3</v>
          </cell>
          <cell r="D16">
            <v>1.2022471987461279E-2</v>
          </cell>
          <cell r="E16">
            <v>4.8544271265997018E-3</v>
          </cell>
          <cell r="F16">
            <v>2.3952107259548501E-3</v>
          </cell>
          <cell r="G16">
            <v>6.4308903302903314E-3</v>
          </cell>
        </row>
        <row r="17">
          <cell r="A17">
            <v>43548</v>
          </cell>
          <cell r="B17">
            <v>-0.15144426015750448</v>
          </cell>
          <cell r="C17">
            <v>1.674847244943169E-2</v>
          </cell>
          <cell r="D17">
            <v>-5.032779257731862E-2</v>
          </cell>
          <cell r="E17">
            <v>1.4423374693800744E-2</v>
          </cell>
          <cell r="F17">
            <v>-1.8511595008412346E-2</v>
          </cell>
          <cell r="G17">
            <v>-1.8649407893977617E-2</v>
          </cell>
        </row>
        <row r="18">
          <cell r="A18">
            <v>43555</v>
          </cell>
          <cell r="B18">
            <v>6.8542319553220141E-2</v>
          </cell>
          <cell r="C18">
            <v>-3.0209532951997149E-2</v>
          </cell>
          <cell r="D18">
            <v>1.1602093034815922E-2</v>
          </cell>
          <cell r="E18">
            <v>0.1524444381983136</v>
          </cell>
          <cell r="F18">
            <v>-4.8860032056262086E-3</v>
          </cell>
          <cell r="G18">
            <v>-3.0781092761417118E-3</v>
          </cell>
        </row>
        <row r="19">
          <cell r="A19">
            <v>43562</v>
          </cell>
          <cell r="B19">
            <v>8.8114811094751569E-2</v>
          </cell>
          <cell r="C19">
            <v>1.1347639497537415E-2</v>
          </cell>
          <cell r="D19">
            <v>8.4197558090808991E-2</v>
          </cell>
          <cell r="E19">
            <v>3.6221223908625921E-2</v>
          </cell>
          <cell r="F19">
            <v>3.6076056473809591E-2</v>
          </cell>
          <cell r="G19">
            <v>2.6938249368167761E-3</v>
          </cell>
        </row>
        <row r="20">
          <cell r="A20">
            <v>43569</v>
          </cell>
          <cell r="B20">
            <v>-1.9248130534839897E-2</v>
          </cell>
          <cell r="C20">
            <v>-4.1762728361975164E-2</v>
          </cell>
          <cell r="D20">
            <v>-3.2327721886488733E-2</v>
          </cell>
          <cell r="E20">
            <v>-0.10360536375190714</v>
          </cell>
          <cell r="F20">
            <v>3.929278139889557E-3</v>
          </cell>
          <cell r="G20">
            <v>2.8789904519965884E-2</v>
          </cell>
        </row>
        <row r="21">
          <cell r="A21">
            <v>43576</v>
          </cell>
          <cell r="B21">
            <v>0.13117295261812101</v>
          </cell>
          <cell r="C21">
            <v>6.8894827465107111E-2</v>
          </cell>
          <cell r="D21">
            <v>5.0914115515909658E-2</v>
          </cell>
          <cell r="E21">
            <v>4.3326571471279197E-2</v>
          </cell>
          <cell r="F21">
            <v>1.9418085857101516E-2</v>
          </cell>
          <cell r="G21">
            <v>2.2887635789699295E-2</v>
          </cell>
        </row>
        <row r="22">
          <cell r="A22">
            <v>43583</v>
          </cell>
          <cell r="B22">
            <v>1.4868204813948033E-2</v>
          </cell>
          <cell r="C22">
            <v>0.10974348391255122</v>
          </cell>
          <cell r="D22">
            <v>2.021071369059237E-2</v>
          </cell>
          <cell r="E22">
            <v>0.14910016404118973</v>
          </cell>
          <cell r="F22">
            <v>6.1349885675159293E-3</v>
          </cell>
          <cell r="G22">
            <v>3.648969206700321E-4</v>
          </cell>
        </row>
        <row r="23">
          <cell r="A23">
            <v>43590</v>
          </cell>
          <cell r="B23">
            <v>-6.0847292916236737E-2</v>
          </cell>
          <cell r="C23">
            <v>-1.799614189274356E-2</v>
          </cell>
          <cell r="D23">
            <v>-6.608275980710647E-2</v>
          </cell>
          <cell r="E23">
            <v>-5.3484748786406078E-2</v>
          </cell>
          <cell r="F23">
            <v>-3.3427130855523408E-2</v>
          </cell>
          <cell r="G23">
            <v>3.2780943578311068E-3</v>
          </cell>
        </row>
        <row r="24">
          <cell r="A24">
            <v>43597</v>
          </cell>
          <cell r="B24">
            <v>7.5999148062151078E-2</v>
          </cell>
          <cell r="C24">
            <v>2.9613575774731581E-2</v>
          </cell>
          <cell r="D24">
            <v>5.4243671481893324E-2</v>
          </cell>
          <cell r="E24">
            <v>-2.3548627696420868E-2</v>
          </cell>
          <cell r="F24">
            <v>7.0894349704880054E-3</v>
          </cell>
          <cell r="G24">
            <v>-6.1875403718087411E-2</v>
          </cell>
        </row>
        <row r="25">
          <cell r="A25">
            <v>43604</v>
          </cell>
          <cell r="B25">
            <v>6.3127701909241413E-2</v>
          </cell>
          <cell r="C25">
            <v>-4.2645206267921103E-3</v>
          </cell>
          <cell r="D25">
            <v>-3.9777696844799908E-3</v>
          </cell>
          <cell r="E25">
            <v>-6.5372201886148673E-2</v>
          </cell>
          <cell r="F25">
            <v>-7.880261425305863E-3</v>
          </cell>
          <cell r="G25">
            <v>7.4163234511780682E-2</v>
          </cell>
        </row>
        <row r="27">
          <cell r="C27" t="str">
            <v>PME</v>
          </cell>
          <cell r="D27" t="str">
            <v>PRO Medicus Ltd.</v>
          </cell>
        </row>
        <row r="28">
          <cell r="C28" t="str">
            <v>RMD</v>
          </cell>
          <cell r="D28" t="str">
            <v>ResMed Inc.</v>
          </cell>
        </row>
        <row r="29">
          <cell r="C29" t="str">
            <v>APX</v>
          </cell>
          <cell r="D29" t="str">
            <v>Appen Limited</v>
          </cell>
        </row>
        <row r="30">
          <cell r="C30" t="str">
            <v>APT</v>
          </cell>
          <cell r="D30" t="str">
            <v>Afterpay Touch Group Limited</v>
          </cell>
        </row>
        <row r="31">
          <cell r="C31" t="str">
            <v>QBE</v>
          </cell>
          <cell r="D31" t="str">
            <v>QBE Insurance Group Limited</v>
          </cell>
        </row>
        <row r="32">
          <cell r="C32" t="str">
            <v>ANZ</v>
          </cell>
          <cell r="D32" t="str">
            <v>Australian and New Zealand Banking Group Limited</v>
          </cell>
        </row>
        <row r="45">
          <cell r="B45" t="str">
            <v>PME</v>
          </cell>
          <cell r="C45" t="str">
            <v>RMD</v>
          </cell>
          <cell r="D45" t="str">
            <v>APX</v>
          </cell>
          <cell r="E45" t="str">
            <v>APT</v>
          </cell>
          <cell r="F45" t="str">
            <v>QBE</v>
          </cell>
          <cell r="G45" t="str">
            <v>ANZ</v>
          </cell>
          <cell r="H45" t="str">
            <v>ALL ORDS</v>
          </cell>
        </row>
        <row r="46">
          <cell r="A46">
            <v>43534</v>
          </cell>
          <cell r="B46">
            <v>7.5619855561864457E-2</v>
          </cell>
          <cell r="C46">
            <v>-1.9663554908778136E-2</v>
          </cell>
          <cell r="D46">
            <v>-5.1358128138929253E-2</v>
          </cell>
          <cell r="E46">
            <v>4.5801934934508411E-2</v>
          </cell>
          <cell r="F46">
            <v>1.2872261404833558E-2</v>
          </cell>
          <cell r="G46">
            <v>-2.880322495797899E-2</v>
          </cell>
          <cell r="H46">
            <v>-3.5053651445497353E-3</v>
          </cell>
        </row>
        <row r="47">
          <cell r="A47">
            <v>43541</v>
          </cell>
          <cell r="B47">
            <v>4.8790106097421147E-2</v>
          </cell>
          <cell r="C47">
            <v>7.7711447248867416E-3</v>
          </cell>
          <cell r="D47">
            <v>1.2022471987461279E-2</v>
          </cell>
          <cell r="E47">
            <v>4.8544271265997018E-3</v>
          </cell>
          <cell r="F47">
            <v>2.3952107259548501E-3</v>
          </cell>
          <cell r="G47">
            <v>6.4308903302903314E-3</v>
          </cell>
          <cell r="H47">
            <v>2.518701156167486E-3</v>
          </cell>
        </row>
        <row r="48">
          <cell r="A48">
            <v>43548</v>
          </cell>
          <cell r="B48">
            <v>-0.15144426015750448</v>
          </cell>
          <cell r="C48">
            <v>1.674847244943169E-2</v>
          </cell>
          <cell r="D48">
            <v>-5.032779257731862E-2</v>
          </cell>
          <cell r="E48">
            <v>1.4423374693800744E-2</v>
          </cell>
          <cell r="F48">
            <v>-1.8511595008412346E-2</v>
          </cell>
          <cell r="G48">
            <v>-1.8649407893977617E-2</v>
          </cell>
          <cell r="H48">
            <v>-3.061521829277815E-3</v>
          </cell>
        </row>
        <row r="49">
          <cell r="A49">
            <v>43555</v>
          </cell>
          <cell r="B49">
            <v>6.8542319553220141E-2</v>
          </cell>
          <cell r="C49">
            <v>-3.0209532951997149E-2</v>
          </cell>
          <cell r="D49">
            <v>1.1602093034815922E-2</v>
          </cell>
          <cell r="E49">
            <v>0.1524444381983136</v>
          </cell>
          <cell r="F49">
            <v>-4.8860032056262086E-3</v>
          </cell>
          <cell r="G49">
            <v>-3.0781092761417118E-3</v>
          </cell>
          <cell r="H49">
            <v>1.4203145931819209E-3</v>
          </cell>
        </row>
        <row r="50">
          <cell r="A50">
            <v>43562</v>
          </cell>
          <cell r="B50">
            <v>8.8114811094751569E-2</v>
          </cell>
          <cell r="C50">
            <v>1.1347639497537415E-2</v>
          </cell>
          <cell r="D50">
            <v>8.4197558090808991E-2</v>
          </cell>
          <cell r="E50">
            <v>3.6221223908625921E-2</v>
          </cell>
          <cell r="F50">
            <v>3.6076056473809591E-2</v>
          </cell>
          <cell r="G50">
            <v>2.6938249368167761E-3</v>
          </cell>
          <cell r="H50">
            <v>1.211020084946883E-2</v>
          </cell>
        </row>
        <row r="51">
          <cell r="A51">
            <v>43569</v>
          </cell>
          <cell r="B51">
            <v>-1.9248130534839897E-2</v>
          </cell>
          <cell r="C51">
            <v>-4.1762728361975164E-2</v>
          </cell>
          <cell r="D51">
            <v>-3.2327721886488733E-2</v>
          </cell>
          <cell r="E51">
            <v>-0.10360536375190714</v>
          </cell>
          <cell r="F51">
            <v>3.929278139889557E-3</v>
          </cell>
          <cell r="G51">
            <v>2.8789904519965884E-2</v>
          </cell>
          <cell r="H51">
            <v>4.5678899145560356E-4</v>
          </cell>
        </row>
        <row r="52">
          <cell r="A52">
            <v>43576</v>
          </cell>
          <cell r="B52">
            <v>0.13117295261812101</v>
          </cell>
          <cell r="C52">
            <v>6.8894827465107111E-2</v>
          </cell>
          <cell r="D52">
            <v>5.0914115515909658E-2</v>
          </cell>
          <cell r="E52">
            <v>4.3326571471279197E-2</v>
          </cell>
          <cell r="F52">
            <v>1.9418085857101516E-2</v>
          </cell>
          <cell r="G52">
            <v>2.2887635789699295E-2</v>
          </cell>
          <cell r="H52">
            <v>1.9231557469008745E-2</v>
          </cell>
        </row>
        <row r="53">
          <cell r="A53">
            <v>43583</v>
          </cell>
          <cell r="B53">
            <v>1.4868204813948033E-2</v>
          </cell>
          <cell r="C53">
            <v>0.10974348391255122</v>
          </cell>
          <cell r="D53">
            <v>2.021071369059237E-2</v>
          </cell>
          <cell r="E53">
            <v>0.14910016404118973</v>
          </cell>
          <cell r="F53">
            <v>6.1349885675159293E-3</v>
          </cell>
          <cell r="G53">
            <v>3.648969206700321E-4</v>
          </cell>
          <cell r="H53">
            <v>-7.1315918221112164E-3</v>
          </cell>
        </row>
        <row r="54">
          <cell r="A54">
            <v>43590</v>
          </cell>
          <cell r="B54">
            <v>-6.0847292916236737E-2</v>
          </cell>
          <cell r="C54">
            <v>-1.799614189274356E-2</v>
          </cell>
          <cell r="D54">
            <v>-6.608275980710647E-2</v>
          </cell>
          <cell r="E54">
            <v>-5.3484748786406078E-2</v>
          </cell>
          <cell r="F54">
            <v>-3.3427130855523408E-2</v>
          </cell>
          <cell r="G54">
            <v>3.2780943578311068E-3</v>
          </cell>
          <cell r="H54">
            <v>-5.3197158628501247E-3</v>
          </cell>
        </row>
        <row r="55">
          <cell r="A55">
            <v>43597</v>
          </cell>
          <cell r="B55">
            <v>7.5999148062151078E-2</v>
          </cell>
          <cell r="C55">
            <v>2.9613575774731581E-2</v>
          </cell>
          <cell r="D55">
            <v>5.4243671481893324E-2</v>
          </cell>
          <cell r="E55">
            <v>-2.3548627696420868E-2</v>
          </cell>
          <cell r="F55">
            <v>7.0894349704880054E-3</v>
          </cell>
          <cell r="G55">
            <v>-6.1875403718087411E-2</v>
          </cell>
          <cell r="H55">
            <v>1.0441008152576824E-2</v>
          </cell>
        </row>
        <row r="56">
          <cell r="A56">
            <v>43604</v>
          </cell>
          <cell r="B56">
            <v>6.3127701909241413E-2</v>
          </cell>
          <cell r="C56">
            <v>-4.2645206267921103E-3</v>
          </cell>
          <cell r="D56">
            <v>-3.9777696844799908E-3</v>
          </cell>
          <cell r="E56">
            <v>-6.5372201886148673E-2</v>
          </cell>
          <cell r="F56">
            <v>-7.880261425305863E-3</v>
          </cell>
          <cell r="G56">
            <v>7.4163234511780682E-2</v>
          </cell>
          <cell r="H56">
            <v>1.3132775912473593E-2</v>
          </cell>
        </row>
      </sheetData>
      <sheetData sheetId="2"/>
      <sheetData sheetId="3"/>
      <sheetData sheetId="4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Name"/>
      <sheetName val="VarCov"/>
      <sheetName val="CustomVariables"/>
    </sheetNames>
    <sheetDataSet>
      <sheetData sheetId="0"/>
      <sheetData sheetId="1">
        <row r="5">
          <cell r="C5" t="str">
            <v>PLS</v>
          </cell>
          <cell r="D5" t="str">
            <v>S32</v>
          </cell>
          <cell r="E5" t="str">
            <v>AMP</v>
          </cell>
          <cell r="F5" t="str">
            <v>BEN</v>
          </cell>
          <cell r="G5" t="str">
            <v>LLC</v>
          </cell>
          <cell r="H5" t="str">
            <v>SCG</v>
          </cell>
        </row>
      </sheetData>
      <sheetData sheetId="2"/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E3"/>
  <sheetViews>
    <sheetView zoomScale="114" zoomScaleNormal="50" workbookViewId="0">
      <selection activeCell="F10" sqref="F10"/>
    </sheetView>
  </sheetViews>
  <sheetFormatPr baseColWidth="10" defaultColWidth="8.83203125" defaultRowHeight="15" x14ac:dyDescent="0.2"/>
  <sheetData>
    <row r="1" spans="1:5" ht="16" x14ac:dyDescent="0.2">
      <c r="A1" s="22" t="s">
        <v>6</v>
      </c>
      <c r="B1" s="22" t="s">
        <v>54</v>
      </c>
      <c r="C1" s="21"/>
      <c r="D1" s="21"/>
      <c r="E1" s="21"/>
    </row>
    <row r="2" spans="1:5" ht="16" x14ac:dyDescent="0.2">
      <c r="A2" s="22" t="s">
        <v>30</v>
      </c>
      <c r="B2" s="45" t="s">
        <v>55</v>
      </c>
      <c r="C2" s="21"/>
      <c r="D2" s="21"/>
      <c r="E2" s="21"/>
    </row>
    <row r="3" spans="1:5" x14ac:dyDescent="0.2">
      <c r="A3" t="s">
        <v>39</v>
      </c>
      <c r="B3" t="s">
        <v>40</v>
      </c>
    </row>
  </sheetData>
  <sheetProtection algorithmName="SHA-512" hashValue="HFzTPqCUVfAE2fqfTdKrnBPfbBezBKFIu1T21Zmj42sJBICvlW5RK56BWD09k0wb2M8qcaMoGOdYNUrnxZG1Ew==" saltValue="ing/cZPplwXf8p7trWZW/g==" spinCount="100000" sheet="1" objects="1" scenarios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N9:Z105"/>
  <sheetViews>
    <sheetView topLeftCell="J81" zoomScale="116" zoomScaleNormal="50" workbookViewId="0">
      <selection activeCell="O108" sqref="O108"/>
    </sheetView>
  </sheetViews>
  <sheetFormatPr baseColWidth="10" defaultColWidth="8.83203125" defaultRowHeight="15" x14ac:dyDescent="0.2"/>
  <cols>
    <col min="14" max="14" width="10.33203125" bestFit="1" customWidth="1"/>
    <col min="15" max="15" width="10.6640625" customWidth="1"/>
    <col min="16" max="25" width="11.5" customWidth="1"/>
    <col min="26" max="29" width="8.33203125" customWidth="1"/>
  </cols>
  <sheetData>
    <row r="9" spans="14:22" ht="18" x14ac:dyDescent="0.2">
      <c r="N9" s="1" t="s">
        <v>0</v>
      </c>
    </row>
    <row r="10" spans="14:22" ht="16" thickBot="1" x14ac:dyDescent="0.25"/>
    <row r="11" spans="14:22" x14ac:dyDescent="0.2">
      <c r="N11" s="2"/>
      <c r="O11" s="3" t="s">
        <v>1</v>
      </c>
      <c r="P11" s="4"/>
      <c r="Q11" s="4"/>
      <c r="R11" s="4"/>
      <c r="S11" s="4"/>
      <c r="T11" s="4"/>
      <c r="U11" s="4"/>
      <c r="V11" s="5"/>
    </row>
    <row r="12" spans="14:22" x14ac:dyDescent="0.2">
      <c r="O12" s="6"/>
      <c r="P12" s="2" t="s">
        <v>31</v>
      </c>
      <c r="Q12" s="7"/>
      <c r="R12" s="7"/>
      <c r="S12" s="7"/>
      <c r="T12" s="7"/>
      <c r="U12" s="7"/>
      <c r="V12" s="8"/>
    </row>
    <row r="13" spans="14:22" x14ac:dyDescent="0.2">
      <c r="N13" s="9"/>
      <c r="O13" s="35"/>
      <c r="P13" s="10" t="s">
        <v>41</v>
      </c>
      <c r="Q13" s="10" t="s">
        <v>42</v>
      </c>
      <c r="R13" s="10" t="s">
        <v>43</v>
      </c>
      <c r="S13" s="10" t="s">
        <v>44</v>
      </c>
      <c r="T13" s="10" t="s">
        <v>45</v>
      </c>
      <c r="U13" s="10" t="s">
        <v>46</v>
      </c>
      <c r="V13" s="11"/>
    </row>
    <row r="14" spans="14:22" x14ac:dyDescent="0.2">
      <c r="N14" s="12"/>
      <c r="O14" s="36">
        <v>45019</v>
      </c>
      <c r="P14" s="14">
        <v>-2.5105921131076358E-2</v>
      </c>
      <c r="Q14" s="14">
        <v>6.3794196577713888E-2</v>
      </c>
      <c r="R14" s="14">
        <v>5.6497325421191276E-3</v>
      </c>
      <c r="S14" s="14">
        <v>9.3023926623136306E-3</v>
      </c>
      <c r="T14" s="14">
        <v>3.9220713153281329E-2</v>
      </c>
      <c r="U14" s="14">
        <v>-8.7472950965052865E-2</v>
      </c>
      <c r="V14" s="15"/>
    </row>
    <row r="15" spans="14:22" x14ac:dyDescent="0.2">
      <c r="N15" s="12"/>
      <c r="O15" s="36">
        <v>45026</v>
      </c>
      <c r="P15" s="14">
        <v>3.3336420267591926E-2</v>
      </c>
      <c r="Q15" s="14">
        <v>9.6332719771033033E-3</v>
      </c>
      <c r="R15" s="14">
        <v>-5.6497325421190209E-3</v>
      </c>
      <c r="S15" s="14">
        <v>4.5256591588120648E-2</v>
      </c>
      <c r="T15" s="14">
        <v>-1.9418085857101627E-2</v>
      </c>
      <c r="U15" s="14">
        <v>3.8048067637529964E-2</v>
      </c>
      <c r="V15" s="15"/>
    </row>
    <row r="16" spans="14:22" x14ac:dyDescent="0.2">
      <c r="N16" s="12"/>
      <c r="O16" s="36">
        <v>45033</v>
      </c>
      <c r="P16" s="14">
        <v>2.4292692569044483E-2</v>
      </c>
      <c r="Q16" s="14">
        <v>-2.0865138463961787E-2</v>
      </c>
      <c r="R16" s="14">
        <v>4.9734005674138382E-2</v>
      </c>
      <c r="S16" s="14">
        <v>-3.6039936483196693E-2</v>
      </c>
      <c r="T16" s="14">
        <v>-4.0005334613699248E-2</v>
      </c>
      <c r="U16" s="14">
        <v>6.9526062648610096E-2</v>
      </c>
      <c r="V16" s="15"/>
    </row>
    <row r="17" spans="14:22" x14ac:dyDescent="0.2">
      <c r="N17" s="12"/>
      <c r="O17" s="36">
        <v>45040</v>
      </c>
      <c r="P17" s="14">
        <v>-2.4292692569044587E-2</v>
      </c>
      <c r="Q17" s="14">
        <v>-1.5939616412157187E-2</v>
      </c>
      <c r="R17" s="14">
        <v>-4.9734005674138444E-2</v>
      </c>
      <c r="S17" s="14">
        <v>5.7922647732704509E-2</v>
      </c>
      <c r="T17" s="14">
        <v>2.0202707317519469E-2</v>
      </c>
      <c r="U17" s="14">
        <v>5.3281366612936781E-2</v>
      </c>
      <c r="V17" s="15"/>
    </row>
    <row r="18" spans="14:22" x14ac:dyDescent="0.2">
      <c r="N18" s="12"/>
      <c r="O18" s="36">
        <v>45047</v>
      </c>
      <c r="P18" s="14">
        <v>-3.3336420267591836E-2</v>
      </c>
      <c r="Q18" s="14">
        <v>7.6564238228592013E-2</v>
      </c>
      <c r="R18" s="14">
        <v>5.6497325421191276E-3</v>
      </c>
      <c r="S18" s="14">
        <v>4.3196611445163796E-3</v>
      </c>
      <c r="T18" s="14">
        <v>-0.12783337150988489</v>
      </c>
      <c r="U18" s="14">
        <v>3.7041271680349076E-2</v>
      </c>
      <c r="V18" s="15"/>
    </row>
    <row r="19" spans="14:22" x14ac:dyDescent="0.2">
      <c r="N19" s="12"/>
      <c r="O19" s="36">
        <v>45054</v>
      </c>
      <c r="P19" s="14">
        <v>-2.575249610241474E-2</v>
      </c>
      <c r="Q19" s="14">
        <v>9.1711401191070831E-3</v>
      </c>
      <c r="R19" s="14">
        <v>-1.4184634991956413E-2</v>
      </c>
      <c r="S19" s="14">
        <v>4.3010818993907017E-3</v>
      </c>
      <c r="T19" s="14">
        <v>0</v>
      </c>
      <c r="U19" s="14">
        <v>8.2836005579149177E-2</v>
      </c>
      <c r="V19" s="15"/>
    </row>
    <row r="20" spans="14:22" x14ac:dyDescent="0.2">
      <c r="N20" s="12"/>
      <c r="O20" s="36">
        <v>45061</v>
      </c>
      <c r="P20" s="14">
        <v>-3.0907537463076548E-2</v>
      </c>
      <c r="Q20" s="14">
        <v>2.9749686171060698E-2</v>
      </c>
      <c r="R20" s="14">
        <v>1.1363758650315003E-2</v>
      </c>
      <c r="S20" s="14">
        <v>0</v>
      </c>
      <c r="T20" s="14">
        <v>-4.6520015634892928E-2</v>
      </c>
      <c r="U20" s="14">
        <v>4.2995363260062668E-2</v>
      </c>
      <c r="V20" s="15"/>
    </row>
    <row r="21" spans="14:22" x14ac:dyDescent="0.2">
      <c r="N21" s="12"/>
      <c r="O21" s="36">
        <v>45068</v>
      </c>
      <c r="P21" s="14">
        <v>-4.1195756438267166E-2</v>
      </c>
      <c r="Q21" s="14">
        <v>-3.2562627547675388E-2</v>
      </c>
      <c r="R21" s="14">
        <v>-8.8553397341445059E-2</v>
      </c>
      <c r="S21" s="14">
        <v>-2.1692824611259896E-2</v>
      </c>
      <c r="T21" s="14">
        <v>4.6520015634892907E-2</v>
      </c>
      <c r="U21" s="14">
        <v>-9.4508897710170653E-2</v>
      </c>
      <c r="V21" s="15"/>
    </row>
    <row r="22" spans="14:22" x14ac:dyDescent="0.2">
      <c r="N22" s="12"/>
      <c r="O22" s="36">
        <v>45075</v>
      </c>
      <c r="P22" s="14">
        <v>-2.3641763057040653E-2</v>
      </c>
      <c r="Q22" s="14">
        <v>5.4141347507291326E-2</v>
      </c>
      <c r="R22" s="14">
        <v>3.0816665374081144E-3</v>
      </c>
      <c r="S22" s="14">
        <v>8.7336799687546315E-3</v>
      </c>
      <c r="T22" s="14">
        <v>0</v>
      </c>
      <c r="U22" s="14">
        <v>-1.5538603427779161E-2</v>
      </c>
      <c r="V22" s="15"/>
    </row>
    <row r="23" spans="14:22" x14ac:dyDescent="0.2">
      <c r="N23" s="12"/>
      <c r="O23" s="36">
        <v>45082</v>
      </c>
      <c r="P23" s="14">
        <v>-2.9128272923023713E-2</v>
      </c>
      <c r="Q23" s="14">
        <v>-1.9535818329815782E-2</v>
      </c>
      <c r="R23" s="14">
        <v>2.7315810646962924E-2</v>
      </c>
      <c r="S23" s="14">
        <v>-8.7336799687546662E-3</v>
      </c>
      <c r="T23" s="14">
        <v>-0.2876820724517809</v>
      </c>
      <c r="U23" s="14">
        <v>6.0756209421072432E-2</v>
      </c>
      <c r="V23" s="15"/>
    </row>
    <row r="24" spans="14:22" x14ac:dyDescent="0.2">
      <c r="N24" s="12"/>
      <c r="O24" s="13"/>
      <c r="P24" s="14"/>
      <c r="Q24" s="14"/>
      <c r="R24" s="14"/>
      <c r="S24" s="14"/>
      <c r="T24" s="14"/>
      <c r="U24" s="14"/>
      <c r="V24" s="15"/>
    </row>
    <row r="25" spans="14:22" x14ac:dyDescent="0.2">
      <c r="N25" s="12"/>
      <c r="O25" s="13"/>
      <c r="P25" s="14"/>
      <c r="Q25" s="14" t="str">
        <f t="array" ref="Q25:Q30">TRANSPOSE(P13:U13)</f>
        <v>XASX:GEM</v>
      </c>
      <c r="R25" s="16" t="s">
        <v>47</v>
      </c>
      <c r="S25" s="14"/>
      <c r="T25" s="14"/>
      <c r="U25" s="14"/>
      <c r="V25" s="15"/>
    </row>
    <row r="26" spans="14:22" x14ac:dyDescent="0.2">
      <c r="N26" s="12"/>
      <c r="O26" s="13"/>
      <c r="P26" s="14"/>
      <c r="Q26" s="14" t="str">
        <v>XASX:JIN</v>
      </c>
      <c r="R26" s="16" t="s">
        <v>48</v>
      </c>
      <c r="S26" s="14"/>
      <c r="T26" s="14"/>
      <c r="U26" s="14"/>
      <c r="V26" s="15"/>
    </row>
    <row r="27" spans="14:22" x14ac:dyDescent="0.2">
      <c r="N27" s="12"/>
      <c r="O27" s="13"/>
      <c r="P27" s="14"/>
      <c r="Q27" s="14" t="str">
        <v>XASX:ACL</v>
      </c>
      <c r="R27" s="40" t="s">
        <v>49</v>
      </c>
      <c r="S27" s="14"/>
      <c r="T27" s="14"/>
      <c r="U27" s="14"/>
      <c r="V27" s="15"/>
    </row>
    <row r="28" spans="14:22" x14ac:dyDescent="0.2">
      <c r="N28" s="12"/>
      <c r="O28" s="13"/>
      <c r="P28" s="14"/>
      <c r="Q28" s="14" t="str">
        <v>XASX:MVF</v>
      </c>
      <c r="R28" s="16" t="s">
        <v>50</v>
      </c>
      <c r="S28" s="14"/>
      <c r="T28" s="14"/>
      <c r="U28" s="14"/>
      <c r="V28" s="15"/>
    </row>
    <row r="29" spans="14:22" x14ac:dyDescent="0.2">
      <c r="N29" s="12"/>
      <c r="O29" s="13"/>
      <c r="P29" s="14"/>
      <c r="Q29" s="14" t="str">
        <v>XASX:BCB</v>
      </c>
      <c r="R29" s="16" t="s">
        <v>51</v>
      </c>
      <c r="S29" s="14"/>
      <c r="T29" s="14"/>
      <c r="U29" s="14"/>
      <c r="V29" s="15"/>
    </row>
    <row r="30" spans="14:22" ht="16" thickBot="1" x14ac:dyDescent="0.25">
      <c r="N30" s="12"/>
      <c r="O30" s="17"/>
      <c r="P30" s="18"/>
      <c r="Q30" s="18" t="str">
        <v>XASX:PLS</v>
      </c>
      <c r="R30" s="19" t="s">
        <v>52</v>
      </c>
      <c r="S30" s="18"/>
      <c r="T30" s="18"/>
      <c r="U30" s="18"/>
      <c r="V30" s="20"/>
    </row>
    <row r="33" spans="14:21" x14ac:dyDescent="0.2">
      <c r="N33" s="9" t="s">
        <v>2</v>
      </c>
    </row>
    <row r="34" spans="14:21" x14ac:dyDescent="0.2">
      <c r="O34" t="s">
        <v>7</v>
      </c>
    </row>
    <row r="37" spans="14:21" x14ac:dyDescent="0.2">
      <c r="N37" s="9"/>
      <c r="P37" s="10" t="str">
        <f t="shared" ref="P37:U37" si="0">P13</f>
        <v>XASX:GEM</v>
      </c>
      <c r="Q37" s="10" t="str">
        <f t="shared" si="0"/>
        <v>XASX:JIN</v>
      </c>
      <c r="R37" s="10" t="str">
        <f t="shared" si="0"/>
        <v>XASX:ACL</v>
      </c>
      <c r="S37" s="10" t="str">
        <f t="shared" si="0"/>
        <v>XASX:MVF</v>
      </c>
      <c r="T37" s="10" t="str">
        <f t="shared" si="0"/>
        <v>XASX:BCB</v>
      </c>
      <c r="U37" s="10" t="str">
        <f t="shared" si="0"/>
        <v>XASX:PLS</v>
      </c>
    </row>
    <row r="38" spans="14:21" x14ac:dyDescent="0.2">
      <c r="O38" t="s">
        <v>32</v>
      </c>
      <c r="P38" s="41">
        <v>-1.7573174711489923E-2</v>
      </c>
      <c r="Q38" s="41">
        <v>1.5415067982725817E-2</v>
      </c>
      <c r="R38" s="41">
        <v>-5.5327063956596258E-3</v>
      </c>
      <c r="S38" s="41">
        <v>6.3369613932589232E-3</v>
      </c>
      <c r="T38" s="41">
        <v>-4.1551544396166581E-2</v>
      </c>
      <c r="U38" s="41">
        <v>1.8696389473670756E-2</v>
      </c>
    </row>
    <row r="39" spans="14:21" x14ac:dyDescent="0.2">
      <c r="O39" t="s">
        <v>33</v>
      </c>
      <c r="P39" s="42" cm="1">
        <f t="array" ref="P39">my_av(P14:P23)</f>
        <v>-1.7573174711489923E-2</v>
      </c>
      <c r="Q39" s="42" cm="1">
        <f t="array" ref="Q39">my_av(Q14:Q23)</f>
        <v>1.5415067982725817E-2</v>
      </c>
      <c r="R39" s="42" cm="1">
        <f t="array" ref="R39">my_av(R14:R23)</f>
        <v>-5.5327063956596258E-3</v>
      </c>
      <c r="S39" s="42" cm="1">
        <f t="array" ref="S39">my_av(S14:S23)</f>
        <v>6.3369613932589232E-3</v>
      </c>
      <c r="T39" s="42" cm="1">
        <f t="array" ref="T39">my_av(T14:T23)</f>
        <v>-4.1551544396166581E-2</v>
      </c>
      <c r="U39" s="42" cm="1">
        <f t="array" ref="U39">my_av(U14:U23)</f>
        <v>1.8696389473670756E-2</v>
      </c>
    </row>
    <row r="41" spans="14:21" x14ac:dyDescent="0.2">
      <c r="N41" s="9" t="s">
        <v>3</v>
      </c>
    </row>
    <row r="42" spans="14:21" x14ac:dyDescent="0.2">
      <c r="O42" t="s">
        <v>8</v>
      </c>
    </row>
    <row r="44" spans="14:21" x14ac:dyDescent="0.2">
      <c r="P44" s="10" t="str">
        <f t="shared" ref="P44:U44" si="1">P13</f>
        <v>XASX:GEM</v>
      </c>
      <c r="Q44" s="10" t="str">
        <f t="shared" si="1"/>
        <v>XASX:JIN</v>
      </c>
      <c r="R44" s="10" t="str">
        <f t="shared" si="1"/>
        <v>XASX:ACL</v>
      </c>
      <c r="S44" s="10" t="str">
        <f t="shared" si="1"/>
        <v>XASX:MVF</v>
      </c>
      <c r="T44" s="10" t="str">
        <f t="shared" si="1"/>
        <v>XASX:BCB</v>
      </c>
      <c r="U44" s="10" t="str">
        <f t="shared" si="1"/>
        <v>XASX:PLS</v>
      </c>
    </row>
    <row r="45" spans="14:21" x14ac:dyDescent="0.2">
      <c r="O45" s="37">
        <f t="shared" ref="O45:O54" si="2">O14</f>
        <v>45019</v>
      </c>
      <c r="P45" s="41">
        <v>-7.5327464195864349E-3</v>
      </c>
      <c r="Q45" s="41">
        <v>4.8379128594988073E-2</v>
      </c>
      <c r="R45" s="41">
        <v>1.1182438937778753E-2</v>
      </c>
      <c r="S45" s="41">
        <v>2.9654312690547075E-3</v>
      </c>
      <c r="T45" s="41">
        <v>8.0772257549447918E-2</v>
      </c>
      <c r="U45" s="41">
        <v>-0.10616934043872361</v>
      </c>
    </row>
    <row r="46" spans="14:21" x14ac:dyDescent="0.2">
      <c r="O46" s="37">
        <f t="shared" si="2"/>
        <v>45026</v>
      </c>
      <c r="P46" s="41">
        <v>5.0909594979081846E-2</v>
      </c>
      <c r="Q46" s="41">
        <v>-5.7817960056225134E-3</v>
      </c>
      <c r="R46" s="41">
        <v>-1.1702614645939507E-4</v>
      </c>
      <c r="S46" s="41">
        <v>3.8919630194861728E-2</v>
      </c>
      <c r="T46" s="41">
        <v>2.2133458539064954E-2</v>
      </c>
      <c r="U46" s="41">
        <v>1.9351678163859208E-2</v>
      </c>
    </row>
    <row r="47" spans="14:21" x14ac:dyDescent="0.2">
      <c r="O47" s="37">
        <f t="shared" si="2"/>
        <v>45033</v>
      </c>
      <c r="P47" s="41">
        <v>4.1865867280534402E-2</v>
      </c>
      <c r="Q47" s="41">
        <v>-3.6280206446687606E-2</v>
      </c>
      <c r="R47" s="41">
        <v>5.526671206979801E-2</v>
      </c>
      <c r="S47" s="41">
        <v>-4.2376897876455613E-2</v>
      </c>
      <c r="T47" s="41">
        <v>1.5462097824673338E-3</v>
      </c>
      <c r="U47" s="41">
        <v>5.082967317493934E-2</v>
      </c>
    </row>
    <row r="48" spans="14:21" x14ac:dyDescent="0.2">
      <c r="O48" s="37">
        <f t="shared" si="2"/>
        <v>45040</v>
      </c>
      <c r="P48" s="41">
        <v>-6.7195178575546639E-3</v>
      </c>
      <c r="Q48" s="41">
        <v>-3.1354684394883002E-2</v>
      </c>
      <c r="R48" s="41">
        <v>-4.4201299278478816E-2</v>
      </c>
      <c r="S48" s="41">
        <v>5.1585686339445588E-2</v>
      </c>
      <c r="T48" s="41">
        <v>6.1754251713686051E-2</v>
      </c>
      <c r="U48" s="41">
        <v>3.4584977139266025E-2</v>
      </c>
    </row>
    <row r="49" spans="15:21" x14ac:dyDescent="0.2">
      <c r="O49" s="37">
        <f t="shared" si="2"/>
        <v>45047</v>
      </c>
      <c r="P49" s="41">
        <v>-1.5763245556101913E-2</v>
      </c>
      <c r="Q49" s="41">
        <v>6.1149170245866198E-2</v>
      </c>
      <c r="R49" s="41">
        <v>1.1182438937778753E-2</v>
      </c>
      <c r="S49" s="41">
        <v>-2.0173002487425436E-3</v>
      </c>
      <c r="T49" s="41">
        <v>-8.6281827113718304E-2</v>
      </c>
      <c r="U49" s="41">
        <v>1.834488220667832E-2</v>
      </c>
    </row>
    <row r="50" spans="15:21" x14ac:dyDescent="0.2">
      <c r="O50" s="37">
        <f t="shared" si="2"/>
        <v>45054</v>
      </c>
      <c r="P50" s="41">
        <v>-8.1793213909248166E-3</v>
      </c>
      <c r="Q50" s="41">
        <v>-6.2439278636187336E-3</v>
      </c>
      <c r="R50" s="41">
        <v>-8.651928596296786E-3</v>
      </c>
      <c r="S50" s="41">
        <v>-2.0358794938682215E-3</v>
      </c>
      <c r="T50" s="41">
        <v>4.1551544396166581E-2</v>
      </c>
      <c r="U50" s="41">
        <v>6.4139616105478414E-2</v>
      </c>
    </row>
    <row r="51" spans="15:21" x14ac:dyDescent="0.2">
      <c r="O51" s="37">
        <f t="shared" si="2"/>
        <v>45061</v>
      </c>
      <c r="P51" s="41">
        <v>-1.3334362751586625E-2</v>
      </c>
      <c r="Q51" s="41">
        <v>1.4334618188334881E-2</v>
      </c>
      <c r="R51" s="41">
        <v>1.689646504597463E-2</v>
      </c>
      <c r="S51" s="41">
        <v>-6.3369613932589232E-3</v>
      </c>
      <c r="T51" s="41">
        <v>-4.9684712387263463E-3</v>
      </c>
      <c r="U51" s="41">
        <v>2.4298973786391911E-2</v>
      </c>
    </row>
    <row r="52" spans="15:21" x14ac:dyDescent="0.2">
      <c r="O52" s="37">
        <f t="shared" si="2"/>
        <v>45068</v>
      </c>
      <c r="P52" s="41">
        <v>-2.3622581726777243E-2</v>
      </c>
      <c r="Q52" s="41">
        <v>-4.7977695530401203E-2</v>
      </c>
      <c r="R52" s="41">
        <v>-8.302069094578543E-2</v>
      </c>
      <c r="S52" s="41">
        <v>-2.802978600451882E-2</v>
      </c>
      <c r="T52" s="41">
        <v>8.8071560031059481E-2</v>
      </c>
      <c r="U52" s="41">
        <v>-0.1132052871838414</v>
      </c>
    </row>
    <row r="53" spans="15:21" x14ac:dyDescent="0.2">
      <c r="O53" s="37">
        <f t="shared" si="2"/>
        <v>45075</v>
      </c>
      <c r="P53" s="41">
        <v>-6.0685883455507302E-3</v>
      </c>
      <c r="Q53" s="41">
        <v>3.8726279524565511E-2</v>
      </c>
      <c r="R53" s="41">
        <v>8.6143729330677397E-3</v>
      </c>
      <c r="S53" s="41">
        <v>2.3967185754957083E-3</v>
      </c>
      <c r="T53" s="41">
        <v>4.1551544396166581E-2</v>
      </c>
      <c r="U53" s="41">
        <v>-3.423499290144992E-2</v>
      </c>
    </row>
    <row r="54" spans="15:21" x14ac:dyDescent="0.2">
      <c r="O54" s="37">
        <f t="shared" si="2"/>
        <v>45082</v>
      </c>
      <c r="P54" s="41">
        <v>-1.155509821153379E-2</v>
      </c>
      <c r="Q54" s="41">
        <v>-3.4950886312541597E-2</v>
      </c>
      <c r="R54" s="41">
        <v>3.2848517042622552E-2</v>
      </c>
      <c r="S54" s="41">
        <v>-1.5070641362013588E-2</v>
      </c>
      <c r="T54" s="41">
        <v>-0.24613052805561431</v>
      </c>
      <c r="U54" s="41">
        <v>4.2059819947401676E-2</v>
      </c>
    </row>
    <row r="56" spans="15:21" x14ac:dyDescent="0.2">
      <c r="P56" s="10" t="str">
        <f t="shared" ref="P56:U56" si="3">P44</f>
        <v>XASX:GEM</v>
      </c>
      <c r="Q56" s="10" t="str">
        <f t="shared" si="3"/>
        <v>XASX:JIN</v>
      </c>
      <c r="R56" s="10" t="str">
        <f t="shared" si="3"/>
        <v>XASX:ACL</v>
      </c>
      <c r="S56" s="10" t="str">
        <f t="shared" si="3"/>
        <v>XASX:MVF</v>
      </c>
      <c r="T56" s="10" t="str">
        <f t="shared" si="3"/>
        <v>XASX:BCB</v>
      </c>
      <c r="U56" s="10" t="str">
        <f t="shared" si="3"/>
        <v>XASX:PLS</v>
      </c>
    </row>
    <row r="57" spans="15:21" x14ac:dyDescent="0.2">
      <c r="O57" s="37">
        <f t="shared" ref="O57:O66" si="4">O45</f>
        <v>45019</v>
      </c>
      <c r="P57" s="42">
        <f t="array" ref="P57:U66">excess_rets(returns)</f>
        <v>-2.5105921131076358E-2</v>
      </c>
      <c r="Q57" s="42">
        <v>6.3794196577713888E-2</v>
      </c>
      <c r="R57" s="42">
        <v>5.6497325421191276E-3</v>
      </c>
      <c r="S57" s="42">
        <v>9.3023926623136306E-3</v>
      </c>
      <c r="T57" s="42">
        <v>3.9220713153281329E-2</v>
      </c>
      <c r="U57" s="42">
        <v>-8.7472950965052865E-2</v>
      </c>
    </row>
    <row r="58" spans="15:21" x14ac:dyDescent="0.2">
      <c r="O58" s="37">
        <f t="shared" si="4"/>
        <v>45026</v>
      </c>
      <c r="P58" s="42">
        <v>3.3336420267591926E-2</v>
      </c>
      <c r="Q58" s="42">
        <v>9.6332719771033033E-3</v>
      </c>
      <c r="R58" s="42">
        <v>-5.6497325421190209E-3</v>
      </c>
      <c r="S58" s="42">
        <v>4.5256591588120648E-2</v>
      </c>
      <c r="T58" s="42">
        <v>-1.9418085857101627E-2</v>
      </c>
      <c r="U58" s="42">
        <v>3.8048067637529964E-2</v>
      </c>
    </row>
    <row r="59" spans="15:21" x14ac:dyDescent="0.2">
      <c r="O59" s="37">
        <f t="shared" si="4"/>
        <v>45033</v>
      </c>
      <c r="P59" s="42">
        <v>2.4292692569044483E-2</v>
      </c>
      <c r="Q59" s="42">
        <v>-2.0865138463961787E-2</v>
      </c>
      <c r="R59" s="42">
        <v>4.9734005674138382E-2</v>
      </c>
      <c r="S59" s="42">
        <v>-3.6039936483196693E-2</v>
      </c>
      <c r="T59" s="42">
        <v>-4.0005334613699248E-2</v>
      </c>
      <c r="U59" s="42">
        <v>6.9526062648610096E-2</v>
      </c>
    </row>
    <row r="60" spans="15:21" x14ac:dyDescent="0.2">
      <c r="O60" s="37">
        <f t="shared" si="4"/>
        <v>45040</v>
      </c>
      <c r="P60" s="42">
        <v>-2.4292692569044587E-2</v>
      </c>
      <c r="Q60" s="42">
        <v>-1.5939616412157187E-2</v>
      </c>
      <c r="R60" s="42">
        <v>-4.9734005674138444E-2</v>
      </c>
      <c r="S60" s="42">
        <v>5.7922647732704509E-2</v>
      </c>
      <c r="T60" s="42">
        <v>2.0202707317519469E-2</v>
      </c>
      <c r="U60" s="42">
        <v>5.3281366612936781E-2</v>
      </c>
    </row>
    <row r="61" spans="15:21" x14ac:dyDescent="0.2">
      <c r="O61" s="37">
        <f t="shared" si="4"/>
        <v>45047</v>
      </c>
      <c r="P61" s="42">
        <v>-3.3336420267591836E-2</v>
      </c>
      <c r="Q61" s="42">
        <v>7.6564238228592013E-2</v>
      </c>
      <c r="R61" s="42">
        <v>5.6497325421191276E-3</v>
      </c>
      <c r="S61" s="42">
        <v>4.3196611445163796E-3</v>
      </c>
      <c r="T61" s="42">
        <v>-0.12783337150988489</v>
      </c>
      <c r="U61" s="42">
        <v>3.7041271680349076E-2</v>
      </c>
    </row>
    <row r="62" spans="15:21" x14ac:dyDescent="0.2">
      <c r="O62" s="37">
        <f t="shared" si="4"/>
        <v>45054</v>
      </c>
      <c r="P62" s="42">
        <v>-2.575249610241474E-2</v>
      </c>
      <c r="Q62" s="42">
        <v>9.1711401191070831E-3</v>
      </c>
      <c r="R62" s="42">
        <v>-1.4184634991956413E-2</v>
      </c>
      <c r="S62" s="42">
        <v>4.3010818993907017E-3</v>
      </c>
      <c r="T62" s="42">
        <v>0</v>
      </c>
      <c r="U62" s="42">
        <v>8.2836005579149177E-2</v>
      </c>
    </row>
    <row r="63" spans="15:21" x14ac:dyDescent="0.2">
      <c r="O63" s="37">
        <f t="shared" si="4"/>
        <v>45061</v>
      </c>
      <c r="P63" s="42">
        <v>-3.0907537463076548E-2</v>
      </c>
      <c r="Q63" s="42">
        <v>2.9749686171060698E-2</v>
      </c>
      <c r="R63" s="42">
        <v>1.1363758650315003E-2</v>
      </c>
      <c r="S63" s="42">
        <v>0</v>
      </c>
      <c r="T63" s="42">
        <v>-4.6520015634892928E-2</v>
      </c>
      <c r="U63" s="42">
        <v>4.2995363260062668E-2</v>
      </c>
    </row>
    <row r="64" spans="15:21" x14ac:dyDescent="0.2">
      <c r="O64" s="37">
        <f t="shared" si="4"/>
        <v>45068</v>
      </c>
      <c r="P64" s="42">
        <v>-4.1195756438267166E-2</v>
      </c>
      <c r="Q64" s="42">
        <v>-3.2562627547675388E-2</v>
      </c>
      <c r="R64" s="42">
        <v>-8.8553397341445059E-2</v>
      </c>
      <c r="S64" s="42">
        <v>-2.1692824611259896E-2</v>
      </c>
      <c r="T64" s="42">
        <v>4.6520015634892907E-2</v>
      </c>
      <c r="U64" s="42">
        <v>-9.4508897710170653E-2</v>
      </c>
    </row>
    <row r="65" spans="14:26" x14ac:dyDescent="0.2">
      <c r="O65" s="37">
        <f t="shared" si="4"/>
        <v>45075</v>
      </c>
      <c r="P65" s="42">
        <v>-2.3641763057040653E-2</v>
      </c>
      <c r="Q65" s="42">
        <v>5.4141347507291326E-2</v>
      </c>
      <c r="R65" s="42">
        <v>3.0816665374081144E-3</v>
      </c>
      <c r="S65" s="42">
        <v>8.7336799687546315E-3</v>
      </c>
      <c r="T65" s="42">
        <v>0</v>
      </c>
      <c r="U65" s="42">
        <v>-1.5538603427779161E-2</v>
      </c>
    </row>
    <row r="66" spans="14:26" x14ac:dyDescent="0.2">
      <c r="O66" s="37">
        <f t="shared" si="4"/>
        <v>45082</v>
      </c>
      <c r="P66" s="42">
        <v>-2.9128272923023713E-2</v>
      </c>
      <c r="Q66" s="42">
        <v>-1.9535818329815782E-2</v>
      </c>
      <c r="R66" s="42">
        <v>2.7315810646962924E-2</v>
      </c>
      <c r="S66" s="42">
        <v>-8.7336799687546662E-3</v>
      </c>
      <c r="T66" s="42">
        <v>-0.2876820724517809</v>
      </c>
      <c r="U66" s="42">
        <v>6.0756209421072432E-2</v>
      </c>
    </row>
    <row r="69" spans="14:26" x14ac:dyDescent="0.2">
      <c r="N69" s="9" t="s">
        <v>4</v>
      </c>
    </row>
    <row r="70" spans="14:26" x14ac:dyDescent="0.2">
      <c r="O70" t="s">
        <v>38</v>
      </c>
    </row>
    <row r="72" spans="14:26" x14ac:dyDescent="0.2">
      <c r="P72" s="39">
        <f t="array" ref="P72:Y72">TRANSPOSE(O57:O66)</f>
        <v>45019</v>
      </c>
      <c r="Q72" s="39">
        <v>45026</v>
      </c>
      <c r="R72" s="39">
        <v>45033</v>
      </c>
      <c r="S72" s="39">
        <v>45040</v>
      </c>
      <c r="T72" s="39">
        <v>45047</v>
      </c>
      <c r="U72" s="39">
        <v>45054</v>
      </c>
      <c r="V72" s="39">
        <v>45061</v>
      </c>
      <c r="W72" s="39">
        <v>45068</v>
      </c>
      <c r="X72" s="39">
        <v>45075</v>
      </c>
      <c r="Y72" s="39">
        <v>45082</v>
      </c>
      <c r="Z72" s="38"/>
    </row>
    <row r="73" spans="14:26" x14ac:dyDescent="0.2">
      <c r="O73" s="10" t="str">
        <f t="shared" ref="O73:O78" si="5">Q25</f>
        <v>XASX:GEM</v>
      </c>
      <c r="P73" s="41">
        <v>-7.5327464195864349E-3</v>
      </c>
      <c r="Q73" s="41">
        <v>5.0909594979081846E-2</v>
      </c>
      <c r="R73" s="41">
        <v>4.1865867280534402E-2</v>
      </c>
      <c r="S73" s="41">
        <v>-6.7195178575546639E-3</v>
      </c>
      <c r="T73" s="41">
        <v>-1.5763245556101913E-2</v>
      </c>
      <c r="U73" s="41">
        <v>-8.1793213909248166E-3</v>
      </c>
      <c r="V73" s="41">
        <v>-1.3334362751586625E-2</v>
      </c>
      <c r="W73" s="41">
        <v>-2.3622581726777243E-2</v>
      </c>
      <c r="X73" s="41">
        <v>-6.0685883455507302E-3</v>
      </c>
      <c r="Y73" s="41">
        <v>-1.155509821153379E-2</v>
      </c>
    </row>
    <row r="74" spans="14:26" x14ac:dyDescent="0.2">
      <c r="O74" s="10" t="str">
        <f t="shared" si="5"/>
        <v>XASX:JIN</v>
      </c>
      <c r="P74" s="41">
        <v>4.8379128594988073E-2</v>
      </c>
      <c r="Q74" s="41">
        <v>-5.7817960056225134E-3</v>
      </c>
      <c r="R74" s="41">
        <v>-3.6280206446687606E-2</v>
      </c>
      <c r="S74" s="41">
        <v>-3.1354684394883002E-2</v>
      </c>
      <c r="T74" s="41">
        <v>6.1149170245866198E-2</v>
      </c>
      <c r="U74" s="41">
        <v>-6.2439278636187336E-3</v>
      </c>
      <c r="V74" s="41">
        <v>1.4334618188334881E-2</v>
      </c>
      <c r="W74" s="41">
        <v>-4.7977695530401203E-2</v>
      </c>
      <c r="X74" s="41">
        <v>3.8726279524565511E-2</v>
      </c>
      <c r="Y74" s="41">
        <v>-3.4950886312541597E-2</v>
      </c>
    </row>
    <row r="75" spans="14:26" x14ac:dyDescent="0.2">
      <c r="O75" s="10" t="str">
        <f t="shared" si="5"/>
        <v>XASX:ACL</v>
      </c>
      <c r="P75" s="41">
        <v>1.1182438937778753E-2</v>
      </c>
      <c r="Q75" s="41">
        <v>-1.1702614645939507E-4</v>
      </c>
      <c r="R75" s="41">
        <v>5.526671206979801E-2</v>
      </c>
      <c r="S75" s="41">
        <v>-4.4201299278478816E-2</v>
      </c>
      <c r="T75" s="41">
        <v>1.1182438937778753E-2</v>
      </c>
      <c r="U75" s="41">
        <v>-8.651928596296786E-3</v>
      </c>
      <c r="V75" s="41">
        <v>1.689646504597463E-2</v>
      </c>
      <c r="W75" s="41">
        <v>-8.302069094578543E-2</v>
      </c>
      <c r="X75" s="41">
        <v>8.6143729330677397E-3</v>
      </c>
      <c r="Y75" s="41">
        <v>3.2848517042622552E-2</v>
      </c>
    </row>
    <row r="76" spans="14:26" x14ac:dyDescent="0.2">
      <c r="O76" s="10" t="str">
        <f t="shared" si="5"/>
        <v>XASX:MVF</v>
      </c>
      <c r="P76" s="41">
        <v>2.9654312690547075E-3</v>
      </c>
      <c r="Q76" s="41">
        <v>3.8919630194861728E-2</v>
      </c>
      <c r="R76" s="41">
        <v>-4.2376897876455613E-2</v>
      </c>
      <c r="S76" s="41">
        <v>5.1585686339445588E-2</v>
      </c>
      <c r="T76" s="41">
        <v>-2.0173002487425436E-3</v>
      </c>
      <c r="U76" s="41">
        <v>-2.0358794938682215E-3</v>
      </c>
      <c r="V76" s="41">
        <v>-6.3369613932589232E-3</v>
      </c>
      <c r="W76" s="41">
        <v>-2.802978600451882E-2</v>
      </c>
      <c r="X76" s="41">
        <v>2.3967185754957083E-3</v>
      </c>
      <c r="Y76" s="41">
        <v>-1.5070641362013588E-2</v>
      </c>
    </row>
    <row r="77" spans="14:26" x14ac:dyDescent="0.2">
      <c r="O77" s="10" t="str">
        <f t="shared" si="5"/>
        <v>XASX:BCB</v>
      </c>
      <c r="P77" s="41">
        <v>8.0772257549447918E-2</v>
      </c>
      <c r="Q77" s="41">
        <v>2.2133458539064954E-2</v>
      </c>
      <c r="R77" s="41">
        <v>1.5462097824673338E-3</v>
      </c>
      <c r="S77" s="41">
        <v>6.1754251713686051E-2</v>
      </c>
      <c r="T77" s="41">
        <v>-8.6281827113718304E-2</v>
      </c>
      <c r="U77" s="41">
        <v>4.1551544396166581E-2</v>
      </c>
      <c r="V77" s="41">
        <v>-4.9684712387263463E-3</v>
      </c>
      <c r="W77" s="41">
        <v>8.8071560031059481E-2</v>
      </c>
      <c r="X77" s="41">
        <v>4.1551544396166581E-2</v>
      </c>
      <c r="Y77" s="41">
        <v>-0.24613052805561431</v>
      </c>
    </row>
    <row r="78" spans="14:26" x14ac:dyDescent="0.2">
      <c r="O78" s="10" t="str">
        <f t="shared" si="5"/>
        <v>XASX:PLS</v>
      </c>
      <c r="P78" s="41">
        <v>-0.10616934043872361</v>
      </c>
      <c r="Q78" s="41">
        <v>1.9351678163859208E-2</v>
      </c>
      <c r="R78" s="41">
        <v>5.082967317493934E-2</v>
      </c>
      <c r="S78" s="41">
        <v>3.4584977139266025E-2</v>
      </c>
      <c r="T78" s="41">
        <v>1.834488220667832E-2</v>
      </c>
      <c r="U78" s="41">
        <v>6.4139616105478414E-2</v>
      </c>
      <c r="V78" s="41">
        <v>2.4298973786391911E-2</v>
      </c>
      <c r="W78" s="41">
        <v>-0.1132052871838414</v>
      </c>
      <c r="X78" s="41">
        <v>-3.423499290144992E-2</v>
      </c>
      <c r="Y78" s="41">
        <v>4.2059819947401676E-2</v>
      </c>
    </row>
    <row r="80" spans="14:26" x14ac:dyDescent="0.2">
      <c r="P80" s="39">
        <f t="shared" ref="P80:Y80" si="6">P72</f>
        <v>45019</v>
      </c>
      <c r="Q80" s="39">
        <f t="shared" si="6"/>
        <v>45026</v>
      </c>
      <c r="R80" s="39">
        <f t="shared" si="6"/>
        <v>45033</v>
      </c>
      <c r="S80" s="39">
        <f t="shared" si="6"/>
        <v>45040</v>
      </c>
      <c r="T80" s="39">
        <f t="shared" si="6"/>
        <v>45047</v>
      </c>
      <c r="U80" s="39">
        <f t="shared" si="6"/>
        <v>45054</v>
      </c>
      <c r="V80" s="39">
        <f t="shared" si="6"/>
        <v>45061</v>
      </c>
      <c r="W80" s="39">
        <f t="shared" si="6"/>
        <v>45068</v>
      </c>
      <c r="X80" s="39">
        <f t="shared" si="6"/>
        <v>45075</v>
      </c>
      <c r="Y80" s="39">
        <f t="shared" si="6"/>
        <v>45082</v>
      </c>
    </row>
    <row r="81" spans="14:25" x14ac:dyDescent="0.2">
      <c r="O81" s="10" t="str">
        <f t="shared" ref="O81:O86" si="7">O73</f>
        <v>XASX:GEM</v>
      </c>
      <c r="P81" s="42">
        <f t="array" ref="P81:Y86">my_transpose(excess)</f>
        <v>-7.5327464195864349E-3</v>
      </c>
      <c r="Q81" s="42">
        <v>5.0909594979081846E-2</v>
      </c>
      <c r="R81" s="42">
        <v>4.1865867280534402E-2</v>
      </c>
      <c r="S81" s="42">
        <v>-6.7195178575546639E-3</v>
      </c>
      <c r="T81" s="42">
        <v>-1.5763245556101913E-2</v>
      </c>
      <c r="U81" s="42">
        <v>-8.1793213909248166E-3</v>
      </c>
      <c r="V81" s="42">
        <v>-1.3334362751586625E-2</v>
      </c>
      <c r="W81" s="42">
        <v>-2.3622581726777243E-2</v>
      </c>
      <c r="X81" s="42">
        <v>-6.0685883455507302E-3</v>
      </c>
      <c r="Y81" s="42">
        <v>-1.155509821153379E-2</v>
      </c>
    </row>
    <row r="82" spans="14:25" x14ac:dyDescent="0.2">
      <c r="O82" s="10" t="str">
        <f t="shared" si="7"/>
        <v>XASX:JIN</v>
      </c>
      <c r="P82" s="42">
        <v>4.8379128594988073E-2</v>
      </c>
      <c r="Q82" s="42">
        <v>-5.7817960056225134E-3</v>
      </c>
      <c r="R82" s="42">
        <v>-3.6280206446687606E-2</v>
      </c>
      <c r="S82" s="42">
        <v>-3.1354684394883002E-2</v>
      </c>
      <c r="T82" s="42">
        <v>6.1149170245866198E-2</v>
      </c>
      <c r="U82" s="42">
        <v>-6.2439278636187336E-3</v>
      </c>
      <c r="V82" s="42">
        <v>1.4334618188334881E-2</v>
      </c>
      <c r="W82" s="42">
        <v>-4.7977695530401203E-2</v>
      </c>
      <c r="X82" s="42">
        <v>3.8726279524565511E-2</v>
      </c>
      <c r="Y82" s="42">
        <v>-3.4950886312541597E-2</v>
      </c>
    </row>
    <row r="83" spans="14:25" x14ac:dyDescent="0.2">
      <c r="O83" s="10" t="str">
        <f t="shared" si="7"/>
        <v>XASX:ACL</v>
      </c>
      <c r="P83" s="42">
        <v>1.1182438937778753E-2</v>
      </c>
      <c r="Q83" s="42">
        <v>-1.1702614645939507E-4</v>
      </c>
      <c r="R83" s="42">
        <v>5.526671206979801E-2</v>
      </c>
      <c r="S83" s="42">
        <v>-4.4201299278478816E-2</v>
      </c>
      <c r="T83" s="42">
        <v>1.1182438937778753E-2</v>
      </c>
      <c r="U83" s="42">
        <v>-8.651928596296786E-3</v>
      </c>
      <c r="V83" s="42">
        <v>1.689646504597463E-2</v>
      </c>
      <c r="W83" s="42">
        <v>-8.302069094578543E-2</v>
      </c>
      <c r="X83" s="42">
        <v>8.6143729330677397E-3</v>
      </c>
      <c r="Y83" s="42">
        <v>3.2848517042622552E-2</v>
      </c>
    </row>
    <row r="84" spans="14:25" x14ac:dyDescent="0.2">
      <c r="O84" s="10" t="str">
        <f t="shared" si="7"/>
        <v>XASX:MVF</v>
      </c>
      <c r="P84" s="42">
        <v>2.9654312690547075E-3</v>
      </c>
      <c r="Q84" s="42">
        <v>3.8919630194861728E-2</v>
      </c>
      <c r="R84" s="42">
        <v>-4.2376897876455613E-2</v>
      </c>
      <c r="S84" s="42">
        <v>5.1585686339445588E-2</v>
      </c>
      <c r="T84" s="42">
        <v>-2.0173002487425436E-3</v>
      </c>
      <c r="U84" s="42">
        <v>-2.0358794938682215E-3</v>
      </c>
      <c r="V84" s="42">
        <v>-6.3369613932589232E-3</v>
      </c>
      <c r="W84" s="42">
        <v>-2.802978600451882E-2</v>
      </c>
      <c r="X84" s="42">
        <v>2.3967185754957083E-3</v>
      </c>
      <c r="Y84" s="42">
        <v>-1.5070641362013588E-2</v>
      </c>
    </row>
    <row r="85" spans="14:25" x14ac:dyDescent="0.2">
      <c r="O85" s="10" t="str">
        <f t="shared" si="7"/>
        <v>XASX:BCB</v>
      </c>
      <c r="P85" s="42">
        <v>8.0772257549447918E-2</v>
      </c>
      <c r="Q85" s="42">
        <v>2.2133458539064954E-2</v>
      </c>
      <c r="R85" s="42">
        <v>1.5462097824673338E-3</v>
      </c>
      <c r="S85" s="42">
        <v>6.1754251713686051E-2</v>
      </c>
      <c r="T85" s="42">
        <v>-8.6281827113718304E-2</v>
      </c>
      <c r="U85" s="42">
        <v>4.1551544396166581E-2</v>
      </c>
      <c r="V85" s="42">
        <v>-4.9684712387263463E-3</v>
      </c>
      <c r="W85" s="42">
        <v>8.8071560031059481E-2</v>
      </c>
      <c r="X85" s="42">
        <v>4.1551544396166581E-2</v>
      </c>
      <c r="Y85" s="42">
        <v>-0.24613052805561431</v>
      </c>
    </row>
    <row r="86" spans="14:25" x14ac:dyDescent="0.2">
      <c r="O86" s="10" t="str">
        <f t="shared" si="7"/>
        <v>XASX:PLS</v>
      </c>
      <c r="P86" s="42">
        <v>-0.10616934043872361</v>
      </c>
      <c r="Q86" s="42">
        <v>1.9351678163859208E-2</v>
      </c>
      <c r="R86" s="42">
        <v>5.082967317493934E-2</v>
      </c>
      <c r="S86" s="42">
        <v>3.4584977139266025E-2</v>
      </c>
      <c r="T86" s="42">
        <v>1.834488220667832E-2</v>
      </c>
      <c r="U86" s="42">
        <v>6.4139616105478414E-2</v>
      </c>
      <c r="V86" s="42">
        <v>2.4298973786391911E-2</v>
      </c>
      <c r="W86" s="42">
        <v>-0.1132052871838414</v>
      </c>
      <c r="X86" s="42">
        <v>-3.423499290144992E-2</v>
      </c>
      <c r="Y86" s="42">
        <v>4.2059819947401676E-2</v>
      </c>
    </row>
    <row r="88" spans="14:25" x14ac:dyDescent="0.2">
      <c r="N88" s="9" t="s">
        <v>5</v>
      </c>
    </row>
    <row r="89" spans="14:25" x14ac:dyDescent="0.2">
      <c r="O89" t="s">
        <v>9</v>
      </c>
    </row>
    <row r="91" spans="14:25" x14ac:dyDescent="0.2">
      <c r="P91" s="10" t="str">
        <f t="shared" ref="P91:U91" si="8">P44</f>
        <v>XASX:GEM</v>
      </c>
      <c r="Q91" s="10" t="str">
        <f t="shared" si="8"/>
        <v>XASX:JIN</v>
      </c>
      <c r="R91" s="10" t="str">
        <f t="shared" si="8"/>
        <v>XASX:ACL</v>
      </c>
      <c r="S91" s="10" t="str">
        <f t="shared" si="8"/>
        <v>XASX:MVF</v>
      </c>
      <c r="T91" s="10" t="str">
        <f t="shared" si="8"/>
        <v>XASX:BCB</v>
      </c>
      <c r="U91" s="10" t="str">
        <f t="shared" si="8"/>
        <v>XASX:PLS</v>
      </c>
    </row>
    <row r="92" spans="14:25" x14ac:dyDescent="0.2">
      <c r="O92" s="10" t="str">
        <f t="shared" ref="O92:O97" si="9">O73</f>
        <v>XASX:GEM</v>
      </c>
      <c r="P92" s="41">
        <v>5.6679927584383895E-3</v>
      </c>
      <c r="Q92" s="41">
        <v>-1.7687677300688696E-3</v>
      </c>
      <c r="R92" s="41">
        <v>3.7191179345548585E-3</v>
      </c>
      <c r="S92" s="41">
        <v>7.9295285251822895E-4</v>
      </c>
      <c r="T92" s="41">
        <v>1.766038263796946E-3</v>
      </c>
      <c r="U92" s="41">
        <v>4.9387159252975484E-3</v>
      </c>
    </row>
    <row r="93" spans="14:25" x14ac:dyDescent="0.2">
      <c r="O93" s="10" t="str">
        <f t="shared" si="9"/>
        <v>XASX:JIN</v>
      </c>
      <c r="P93" s="41">
        <v>-1.7687677300688696E-3</v>
      </c>
      <c r="Q93" s="41">
        <v>1.3680176245762229E-2</v>
      </c>
      <c r="R93" s="41">
        <v>4.071185855817375E-3</v>
      </c>
      <c r="S93" s="41">
        <v>1.6012998387745594E-3</v>
      </c>
      <c r="T93" s="41">
        <v>2.1667566257815556E-3</v>
      </c>
      <c r="U93" s="41">
        <v>-4.4716650972130437E-3</v>
      </c>
    </row>
    <row r="94" spans="14:25" x14ac:dyDescent="0.2">
      <c r="O94" s="10" t="str">
        <f t="shared" si="9"/>
        <v>XASX:ACL</v>
      </c>
      <c r="P94" s="41">
        <v>3.7191179345548585E-3</v>
      </c>
      <c r="Q94" s="41">
        <v>4.071185855817375E-3</v>
      </c>
      <c r="R94" s="41">
        <v>1.3664285914755178E-2</v>
      </c>
      <c r="S94" s="41">
        <v>-2.852946124336596E-3</v>
      </c>
      <c r="T94" s="41">
        <v>-1.8190659557875938E-2</v>
      </c>
      <c r="U94" s="41">
        <v>1.0636837952495639E-2</v>
      </c>
    </row>
    <row r="95" spans="14:25" x14ac:dyDescent="0.2">
      <c r="O95" s="10" t="str">
        <f t="shared" si="9"/>
        <v>XASX:MVF</v>
      </c>
      <c r="P95" s="41">
        <v>7.9295285251822895E-4</v>
      </c>
      <c r="Q95" s="41">
        <v>1.6012998387745594E-3</v>
      </c>
      <c r="R95" s="41">
        <v>-2.852946124336596E-3</v>
      </c>
      <c r="S95" s="41">
        <v>7.0473246856179537E-3</v>
      </c>
      <c r="T95" s="41">
        <v>5.6823152031215338E-3</v>
      </c>
      <c r="U95" s="41">
        <v>2.2040387347240916E-3</v>
      </c>
    </row>
    <row r="96" spans="14:25" x14ac:dyDescent="0.2">
      <c r="O96" s="10" t="str">
        <f t="shared" si="9"/>
        <v>XASX:BCB</v>
      </c>
      <c r="P96" s="41">
        <v>1.766038263796946E-3</v>
      </c>
      <c r="Q96" s="41">
        <v>2.1667566257815556E-3</v>
      </c>
      <c r="R96" s="41">
        <v>-1.8190659557875938E-2</v>
      </c>
      <c r="S96" s="41">
        <v>5.6823152031215338E-3</v>
      </c>
      <c r="T96" s="41">
        <v>9.0089163553128432E-2</v>
      </c>
      <c r="U96" s="41">
        <v>-2.6716202390074099E-2</v>
      </c>
    </row>
    <row r="97" spans="15:21" x14ac:dyDescent="0.2">
      <c r="O97" s="10" t="str">
        <f t="shared" si="9"/>
        <v>XASX:PLS</v>
      </c>
      <c r="P97" s="41">
        <v>4.9387159252975484E-3</v>
      </c>
      <c r="Q97" s="41">
        <v>-4.4716650972130437E-3</v>
      </c>
      <c r="R97" s="41">
        <v>1.0636837952495639E-2</v>
      </c>
      <c r="S97" s="41">
        <v>2.2040387347240916E-3</v>
      </c>
      <c r="T97" s="41">
        <v>-2.6716202390074099E-2</v>
      </c>
      <c r="U97" s="41">
        <v>3.6223558039498872E-2</v>
      </c>
    </row>
    <row r="99" spans="15:21" x14ac:dyDescent="0.2">
      <c r="P99" s="10" t="str">
        <f t="shared" ref="P99:U99" si="10">P91</f>
        <v>XASX:GEM</v>
      </c>
      <c r="Q99" s="10" t="str">
        <f t="shared" si="10"/>
        <v>XASX:JIN</v>
      </c>
      <c r="R99" s="10" t="str">
        <f t="shared" si="10"/>
        <v>XASX:ACL</v>
      </c>
      <c r="S99" s="10" t="str">
        <f t="shared" si="10"/>
        <v>XASX:MVF</v>
      </c>
      <c r="T99" s="10" t="str">
        <f t="shared" si="10"/>
        <v>XASX:BCB</v>
      </c>
      <c r="U99" s="10" t="str">
        <f t="shared" si="10"/>
        <v>XASX:PLS</v>
      </c>
    </row>
    <row r="100" spans="15:21" x14ac:dyDescent="0.2">
      <c r="O100" s="10" t="str">
        <f t="shared" ref="O100:O105" si="11">O92</f>
        <v>XASX:GEM</v>
      </c>
      <c r="P100" s="42" cm="1">
        <f t="array" ref="P100:U105">my_trans(excess,transpose)</f>
        <v>5.6679927584383895E-3</v>
      </c>
      <c r="Q100" s="42">
        <v>-1.7687677300688696E-3</v>
      </c>
      <c r="R100" s="42">
        <v>3.7191179345548585E-3</v>
      </c>
      <c r="S100" s="42">
        <v>7.9295285251822895E-4</v>
      </c>
      <c r="T100" s="42">
        <v>1.766038263796946E-3</v>
      </c>
      <c r="U100" s="42">
        <v>4.9387159252975484E-3</v>
      </c>
    </row>
    <row r="101" spans="15:21" x14ac:dyDescent="0.2">
      <c r="O101" s="10" t="str">
        <f t="shared" si="11"/>
        <v>XASX:JIN</v>
      </c>
      <c r="P101" s="42">
        <v>-1.7687677300688696E-3</v>
      </c>
      <c r="Q101" s="42">
        <v>1.3680176245762229E-2</v>
      </c>
      <c r="R101" s="42">
        <v>4.071185855817375E-3</v>
      </c>
      <c r="S101" s="42">
        <v>1.6012998387745594E-3</v>
      </c>
      <c r="T101" s="42">
        <v>2.1667566257815556E-3</v>
      </c>
      <c r="U101" s="42">
        <v>-4.4716650972130437E-3</v>
      </c>
    </row>
    <row r="102" spans="15:21" x14ac:dyDescent="0.2">
      <c r="O102" s="10" t="str">
        <f t="shared" si="11"/>
        <v>XASX:ACL</v>
      </c>
      <c r="P102" s="42">
        <v>3.7191179345548585E-3</v>
      </c>
      <c r="Q102" s="42">
        <v>4.071185855817375E-3</v>
      </c>
      <c r="R102" s="42">
        <v>1.3664285914755178E-2</v>
      </c>
      <c r="S102" s="42">
        <v>-2.852946124336596E-3</v>
      </c>
      <c r="T102" s="42">
        <v>-1.8190659557875938E-2</v>
      </c>
      <c r="U102" s="42">
        <v>1.0636837952495639E-2</v>
      </c>
    </row>
    <row r="103" spans="15:21" x14ac:dyDescent="0.2">
      <c r="O103" s="10" t="str">
        <f t="shared" si="11"/>
        <v>XASX:MVF</v>
      </c>
      <c r="P103" s="42">
        <v>7.9295285251822895E-4</v>
      </c>
      <c r="Q103" s="42">
        <v>1.6012998387745594E-3</v>
      </c>
      <c r="R103" s="42">
        <v>-2.852946124336596E-3</v>
      </c>
      <c r="S103" s="42">
        <v>7.0473246856179537E-3</v>
      </c>
      <c r="T103" s="42">
        <v>5.6823152031215338E-3</v>
      </c>
      <c r="U103" s="42">
        <v>2.2040387347240916E-3</v>
      </c>
    </row>
    <row r="104" spans="15:21" x14ac:dyDescent="0.2">
      <c r="O104" s="10" t="str">
        <f t="shared" si="11"/>
        <v>XASX:BCB</v>
      </c>
      <c r="P104" s="42">
        <v>1.766038263796946E-3</v>
      </c>
      <c r="Q104" s="42">
        <v>2.1667566257815556E-3</v>
      </c>
      <c r="R104" s="42">
        <v>-1.8190659557875938E-2</v>
      </c>
      <c r="S104" s="42">
        <v>5.6823152031215338E-3</v>
      </c>
      <c r="T104" s="42">
        <v>9.0089163553128432E-2</v>
      </c>
      <c r="U104" s="42">
        <v>-2.6716202390074099E-2</v>
      </c>
    </row>
    <row r="105" spans="15:21" x14ac:dyDescent="0.2">
      <c r="O105" s="10" t="str">
        <f t="shared" si="11"/>
        <v>XASX:PLS</v>
      </c>
      <c r="P105" s="42">
        <v>4.9387159252975484E-3</v>
      </c>
      <c r="Q105" s="42">
        <v>-4.4716650972130437E-3</v>
      </c>
      <c r="R105" s="42">
        <v>1.0636837952495639E-2</v>
      </c>
      <c r="S105" s="42">
        <v>2.2040387347240916E-3</v>
      </c>
      <c r="T105" s="42">
        <v>-2.6716202390074099E-2</v>
      </c>
      <c r="U105" s="42">
        <v>3.6223558039498872E-2</v>
      </c>
    </row>
  </sheetData>
  <sheetProtection algorithmName="SHA-512" hashValue="wpKo9PP7Zvz80t3Mjze8MVZ10yEIUEuCLjYaNq7p/JFYRYelww/my3fTPkPimujKFb4YUvXNSuwJI3hnQ/0H9Q==" saltValue="wjMBTmJT8ZAcN7R5ANnUOQ==" spinCount="100000" sheet="1" objects="1" scenarios="1"/>
  <phoneticPr fontId="4" type="noConversion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/>
  <dimension ref="C18:X69"/>
  <sheetViews>
    <sheetView tabSelected="1" topLeftCell="B1" zoomScale="138" zoomScaleNormal="50" workbookViewId="0">
      <selection activeCell="M69" sqref="M69"/>
    </sheetView>
  </sheetViews>
  <sheetFormatPr baseColWidth="10" defaultColWidth="8.83203125" defaultRowHeight="15" x14ac:dyDescent="0.2"/>
  <cols>
    <col min="4" max="4" width="13.5" customWidth="1"/>
    <col min="5" max="9" width="8.1640625" style="23" customWidth="1"/>
    <col min="10" max="10" width="16.1640625" style="23" bestFit="1" customWidth="1"/>
    <col min="11" max="13" width="8.1640625" style="23" customWidth="1"/>
    <col min="14" max="14" width="1.5" customWidth="1"/>
    <col min="15" max="15" width="10.83203125" bestFit="1" customWidth="1"/>
  </cols>
  <sheetData>
    <row r="18" spans="3:4" x14ac:dyDescent="0.2">
      <c r="C18" s="25" t="s">
        <v>25</v>
      </c>
    </row>
    <row r="20" spans="3:4" x14ac:dyDescent="0.2">
      <c r="C20" s="25" t="s">
        <v>24</v>
      </c>
    </row>
    <row r="27" spans="3:4" x14ac:dyDescent="0.2">
      <c r="C27" s="25" t="s">
        <v>26</v>
      </c>
    </row>
    <row r="28" spans="3:4" x14ac:dyDescent="0.2">
      <c r="C28" s="25" t="s">
        <v>27</v>
      </c>
    </row>
    <row r="29" spans="3:4" x14ac:dyDescent="0.2">
      <c r="C29" s="25"/>
    </row>
    <row r="30" spans="3:4" x14ac:dyDescent="0.2">
      <c r="C30" s="31" t="s">
        <v>23</v>
      </c>
    </row>
    <row r="32" spans="3:4" x14ac:dyDescent="0.2">
      <c r="C32" s="25" t="s">
        <v>22</v>
      </c>
      <c r="D32" s="23"/>
    </row>
    <row r="34" spans="3:13" x14ac:dyDescent="0.2">
      <c r="E34" s="28">
        <v>0.15052465242301871</v>
      </c>
      <c r="H34" s="28">
        <v>0.23308415283953199</v>
      </c>
    </row>
    <row r="35" spans="3:13" x14ac:dyDescent="0.2">
      <c r="E35" s="28">
        <v>0.15361002410552493</v>
      </c>
      <c r="H35" s="28">
        <v>0.35688428711798598</v>
      </c>
    </row>
    <row r="36" spans="3:13" x14ac:dyDescent="0.2">
      <c r="E36" s="28">
        <v>0.12160174038662933</v>
      </c>
      <c r="H36" s="28">
        <v>7.8143049827309005E-2</v>
      </c>
    </row>
    <row r="37" spans="3:13" x14ac:dyDescent="0.2">
      <c r="E37" s="28">
        <v>4.7898967014336963E-2</v>
      </c>
      <c r="H37" s="28">
        <v>-0.27210435873039401</v>
      </c>
      <c r="J37" s="30" t="s">
        <v>21</v>
      </c>
      <c r="K37" s="33">
        <f>SUMPRODUCT(E34:E42,H34:H42)</f>
        <v>0.13818314347496238</v>
      </c>
    </row>
    <row r="38" spans="3:13" x14ac:dyDescent="0.2">
      <c r="D38" s="26" t="s">
        <v>20</v>
      </c>
      <c r="E38" s="28">
        <v>0.13983177913472741</v>
      </c>
      <c r="G38" s="26" t="s">
        <v>19</v>
      </c>
      <c r="H38" s="28">
        <v>-0.13455248768257999</v>
      </c>
      <c r="J38" s="30" t="s">
        <v>34</v>
      </c>
      <c r="K38" s="24">
        <v>0.13818314347496238</v>
      </c>
    </row>
    <row r="39" spans="3:13" x14ac:dyDescent="0.2">
      <c r="E39" s="28">
        <v>7.7959449877768594E-2</v>
      </c>
      <c r="H39" s="28">
        <v>0.22535993860408499</v>
      </c>
      <c r="J39" s="30" t="s">
        <v>35</v>
      </c>
      <c r="K39" s="43">
        <f>SUMPRODUCT(E34:E42,H34:H42)</f>
        <v>0.13818314347496238</v>
      </c>
    </row>
    <row r="40" spans="3:13" x14ac:dyDescent="0.2">
      <c r="E40" s="28">
        <v>0.12068619807756271</v>
      </c>
      <c r="H40" s="28">
        <v>0.365666561986078</v>
      </c>
    </row>
    <row r="41" spans="3:13" x14ac:dyDescent="0.2">
      <c r="E41" s="28">
        <v>0.15397856088141018</v>
      </c>
      <c r="H41" s="28">
        <v>4.7909671527621697E-2</v>
      </c>
    </row>
    <row r="42" spans="3:13" x14ac:dyDescent="0.2">
      <c r="E42" s="28">
        <v>3.3908628099021169E-2</v>
      </c>
      <c r="H42" s="28">
        <v>4.55996855528756E-2</v>
      </c>
    </row>
    <row r="43" spans="3:13" x14ac:dyDescent="0.2">
      <c r="H43" s="14"/>
    </row>
    <row r="44" spans="3:13" x14ac:dyDescent="0.2">
      <c r="C44" s="25" t="s">
        <v>18</v>
      </c>
    </row>
    <row r="45" spans="3:13" ht="14.25" customHeight="1" x14ac:dyDescent="0.2"/>
    <row r="46" spans="3:13" x14ac:dyDescent="0.2">
      <c r="E46" s="28">
        <v>0.1037949991720571</v>
      </c>
      <c r="F46" s="28">
        <v>4.7763734886958106E-2</v>
      </c>
      <c r="G46" s="28">
        <v>6.4784748266781086E-2</v>
      </c>
      <c r="H46" s="28">
        <v>4.2745590308925774E-2</v>
      </c>
      <c r="I46" s="28">
        <v>1.9972740102253396E-2</v>
      </c>
      <c r="J46" s="28">
        <v>2.7368675782262247E-2</v>
      </c>
      <c r="K46" s="28">
        <v>4.3550075738659016E-2</v>
      </c>
      <c r="L46" s="28">
        <v>8.7848991984380939E-2</v>
      </c>
      <c r="M46" s="28">
        <v>3.264325405140657E-2</v>
      </c>
    </row>
    <row r="47" spans="3:13" x14ac:dyDescent="0.2">
      <c r="E47" s="28">
        <v>0.1037949991720571</v>
      </c>
      <c r="F47" s="28">
        <v>4.7763734886958106E-2</v>
      </c>
      <c r="G47" s="28">
        <v>6.4784748266781086E-2</v>
      </c>
      <c r="H47" s="28">
        <v>4.2745590308925774E-2</v>
      </c>
      <c r="I47" s="28">
        <v>1.9972740102253396E-2</v>
      </c>
      <c r="J47" s="28">
        <v>2.7368675782262247E-2</v>
      </c>
      <c r="K47" s="28">
        <v>4.3550075738659016E-2</v>
      </c>
      <c r="L47" s="28">
        <v>8.7848991984380939E-2</v>
      </c>
      <c r="M47" s="28">
        <v>3.264325405140657E-2</v>
      </c>
    </row>
    <row r="48" spans="3:13" x14ac:dyDescent="0.2">
      <c r="E48" s="28">
        <v>0.1037949991720571</v>
      </c>
      <c r="F48" s="28">
        <v>4.7763734886958106E-2</v>
      </c>
      <c r="G48" s="28">
        <v>6.4784748266781086E-2</v>
      </c>
      <c r="H48" s="28">
        <v>4.2745590308925774E-2</v>
      </c>
      <c r="I48" s="28">
        <v>1.9972740102253396E-2</v>
      </c>
      <c r="J48" s="28">
        <v>2.7368675782262247E-2</v>
      </c>
      <c r="K48" s="28">
        <v>4.3550075738659016E-2</v>
      </c>
      <c r="L48" s="28">
        <v>8.7848991984380939E-2</v>
      </c>
      <c r="M48" s="28">
        <v>3.264325405140657E-2</v>
      </c>
    </row>
    <row r="49" spans="3:24" x14ac:dyDescent="0.2">
      <c r="E49" s="28">
        <v>0.1037949991720571</v>
      </c>
      <c r="F49" s="28">
        <v>4.7763734886958106E-2</v>
      </c>
      <c r="G49" s="28">
        <v>6.4784748266781086E-2</v>
      </c>
      <c r="H49" s="28">
        <v>4.2745590308925774E-2</v>
      </c>
      <c r="I49" s="28">
        <v>1.9972740102253396E-2</v>
      </c>
      <c r="J49" s="28">
        <v>2.7368675782262247E-2</v>
      </c>
      <c r="K49" s="28">
        <v>4.3550075738659016E-2</v>
      </c>
      <c r="L49" s="28">
        <v>8.7848991984380939E-2</v>
      </c>
      <c r="M49" s="28">
        <v>3.264325405140657E-2</v>
      </c>
    </row>
    <row r="50" spans="3:24" x14ac:dyDescent="0.2">
      <c r="D50" s="29" t="s">
        <v>17</v>
      </c>
      <c r="E50" s="28">
        <v>0.1037949991720571</v>
      </c>
      <c r="F50" s="28">
        <v>4.7763734886958106E-2</v>
      </c>
      <c r="G50" s="28">
        <v>6.4784748266781086E-2</v>
      </c>
      <c r="H50" s="28">
        <v>4.2745590308925774E-2</v>
      </c>
      <c r="I50" s="28">
        <v>1.9972740102253396E-2</v>
      </c>
      <c r="J50" s="28">
        <v>2.7368675782262247E-2</v>
      </c>
      <c r="K50" s="28">
        <v>4.3550075738659016E-2</v>
      </c>
      <c r="L50" s="28">
        <v>8.7848991984380939E-2</v>
      </c>
      <c r="M50" s="28">
        <v>3.264325405140657E-2</v>
      </c>
    </row>
    <row r="51" spans="3:24" x14ac:dyDescent="0.2">
      <c r="E51" s="28">
        <v>0.1037949991720571</v>
      </c>
      <c r="F51" s="28">
        <v>4.7763734886958106E-2</v>
      </c>
      <c r="G51" s="28">
        <v>6.4784748266781086E-2</v>
      </c>
      <c r="H51" s="28">
        <v>4.2745590308925774E-2</v>
      </c>
      <c r="I51" s="28">
        <v>1.9972740102253396E-2</v>
      </c>
      <c r="J51" s="28">
        <v>2.7368675782262247E-2</v>
      </c>
      <c r="K51" s="28">
        <v>4.3550075738659016E-2</v>
      </c>
      <c r="L51" s="28">
        <v>8.7848991984380939E-2</v>
      </c>
      <c r="M51" s="28">
        <v>3.264325405140657E-2</v>
      </c>
    </row>
    <row r="52" spans="3:24" x14ac:dyDescent="0.2">
      <c r="E52" s="28">
        <v>0.1037949991720571</v>
      </c>
      <c r="F52" s="28">
        <v>4.7763734886958106E-2</v>
      </c>
      <c r="G52" s="28">
        <v>6.4784748266781086E-2</v>
      </c>
      <c r="H52" s="28">
        <v>4.2745590308925774E-2</v>
      </c>
      <c r="I52" s="28">
        <v>1.9972740102253396E-2</v>
      </c>
      <c r="J52" s="28">
        <v>2.7368675782262247E-2</v>
      </c>
      <c r="K52" s="28">
        <v>4.3550075738659016E-2</v>
      </c>
      <c r="L52" s="28">
        <v>8.7848991984380939E-2</v>
      </c>
      <c r="M52" s="28">
        <v>3.264325405140657E-2</v>
      </c>
    </row>
    <row r="53" spans="3:24" x14ac:dyDescent="0.2">
      <c r="E53" s="28">
        <v>0.1037949991720571</v>
      </c>
      <c r="F53" s="28">
        <v>4.7763734886958106E-2</v>
      </c>
      <c r="G53" s="28">
        <v>6.4784748266781086E-2</v>
      </c>
      <c r="H53" s="28">
        <v>4.2745590308925774E-2</v>
      </c>
      <c r="I53" s="28">
        <v>1.9972740102253396E-2</v>
      </c>
      <c r="J53" s="28">
        <v>2.7368675782262247E-2</v>
      </c>
      <c r="K53" s="28">
        <v>4.3550075738659016E-2</v>
      </c>
      <c r="L53" s="28">
        <v>8.7848991984380939E-2</v>
      </c>
      <c r="M53" s="28">
        <v>3.264325405140657E-2</v>
      </c>
    </row>
    <row r="54" spans="3:24" x14ac:dyDescent="0.2">
      <c r="E54" s="28">
        <v>0.1037949991720571</v>
      </c>
      <c r="F54" s="28">
        <v>4.7763734886958106E-2</v>
      </c>
      <c r="G54" s="28">
        <v>6.4784748266781086E-2</v>
      </c>
      <c r="H54" s="28">
        <v>4.2745590308925774E-2</v>
      </c>
      <c r="I54" s="28">
        <v>1.9972740102253396E-2</v>
      </c>
      <c r="J54" s="28">
        <v>2.7368675782262247E-2</v>
      </c>
      <c r="K54" s="28">
        <v>4.3550075738659016E-2</v>
      </c>
      <c r="L54" s="28">
        <v>8.7848991984380939E-2</v>
      </c>
      <c r="M54" s="28">
        <v>3.264325405140657E-2</v>
      </c>
    </row>
    <row r="56" spans="3:24" ht="17" x14ac:dyDescent="0.2">
      <c r="C56" s="25" t="s">
        <v>16</v>
      </c>
      <c r="D56" s="25" t="s">
        <v>15</v>
      </c>
    </row>
    <row r="58" spans="3:24" x14ac:dyDescent="0.2">
      <c r="C58" s="25" t="s">
        <v>14</v>
      </c>
      <c r="E58" s="34">
        <f t="array" ref="E58:M58">MMULT(TRANSPOSE(E34:E42),E46:M54)</f>
        <v>0.1037949991720571</v>
      </c>
      <c r="F58" s="34">
        <v>4.7763734886958106E-2</v>
      </c>
      <c r="G58" s="34">
        <v>6.4784748266781086E-2</v>
      </c>
      <c r="H58" s="34">
        <v>4.2745590308925774E-2</v>
      </c>
      <c r="I58" s="34">
        <v>1.9972740102253396E-2</v>
      </c>
      <c r="J58" s="34">
        <v>2.7368675782262247E-2</v>
      </c>
      <c r="K58" s="34">
        <v>4.3550075738659016E-2</v>
      </c>
      <c r="L58" s="34">
        <v>8.7848991984380939E-2</v>
      </c>
      <c r="M58" s="34">
        <v>3.264325405140657E-2</v>
      </c>
      <c r="O58" s="25" t="s">
        <v>32</v>
      </c>
      <c r="P58" s="27">
        <v>0.1037949991720571</v>
      </c>
      <c r="Q58" s="27">
        <v>4.7763734886958106E-2</v>
      </c>
      <c r="R58" s="27">
        <v>6.4784748266781086E-2</v>
      </c>
      <c r="S58" s="27">
        <v>4.2745590308925774E-2</v>
      </c>
      <c r="T58" s="27">
        <v>1.9972740102253396E-2</v>
      </c>
      <c r="U58" s="27">
        <v>2.7368675782262247E-2</v>
      </c>
      <c r="V58" s="27">
        <v>4.3550075738659016E-2</v>
      </c>
      <c r="W58" s="27">
        <v>8.7848991984380939E-2</v>
      </c>
      <c r="X58" s="27">
        <v>3.264325405140657E-2</v>
      </c>
    </row>
    <row r="59" spans="3:24" x14ac:dyDescent="0.2">
      <c r="E59"/>
      <c r="F59"/>
      <c r="G59"/>
      <c r="H59"/>
      <c r="I59"/>
      <c r="J59"/>
      <c r="K59"/>
      <c r="L59"/>
      <c r="M59"/>
      <c r="O59" s="25" t="s">
        <v>33</v>
      </c>
      <c r="P59" s="44">
        <f t="array" ref="P59:X59">chicken(E34:E42,E46:M54)</f>
        <v>0.1037949991720571</v>
      </c>
      <c r="Q59" s="44">
        <v>4.7763734886958106E-2</v>
      </c>
      <c r="R59" s="44">
        <v>6.4784748266781086E-2</v>
      </c>
      <c r="S59" s="44">
        <v>4.2745590308925774E-2</v>
      </c>
      <c r="T59" s="44">
        <v>1.9972740102253396E-2</v>
      </c>
      <c r="U59" s="44">
        <v>2.7368675782262247E-2</v>
      </c>
      <c r="V59" s="44">
        <v>4.3550075738659016E-2</v>
      </c>
      <c r="W59" s="44">
        <v>8.7848991984380939E-2</v>
      </c>
      <c r="X59" s="44">
        <v>3.264325405140657E-2</v>
      </c>
    </row>
    <row r="60" spans="3:24" x14ac:dyDescent="0.2">
      <c r="E60"/>
      <c r="F60"/>
      <c r="G60"/>
      <c r="H60"/>
      <c r="I60"/>
      <c r="J60"/>
      <c r="K60"/>
      <c r="L60"/>
      <c r="M60"/>
    </row>
    <row r="61" spans="3:24" ht="17" x14ac:dyDescent="0.2">
      <c r="C61" s="25" t="s">
        <v>13</v>
      </c>
      <c r="D61" s="25" t="s">
        <v>12</v>
      </c>
      <c r="F61" s="26"/>
      <c r="M61"/>
    </row>
    <row r="62" spans="3:24" x14ac:dyDescent="0.2">
      <c r="D62" s="25" t="s">
        <v>11</v>
      </c>
      <c r="M62"/>
    </row>
    <row r="63" spans="3:24" x14ac:dyDescent="0.2">
      <c r="M63"/>
    </row>
    <row r="64" spans="3:24" ht="17" x14ac:dyDescent="0.25">
      <c r="D64" s="25" t="s">
        <v>10</v>
      </c>
      <c r="E64" s="33" cm="1">
        <f t="array" ref="E64">SQRT(MMULT(E58:M58,E34:E42))</f>
        <v>0.24021285452823243</v>
      </c>
      <c r="M64"/>
    </row>
    <row r="65" spans="3:13" ht="17" x14ac:dyDescent="0.25">
      <c r="D65" s="25" t="s">
        <v>36</v>
      </c>
      <c r="E65" s="24">
        <v>0.2402</v>
      </c>
      <c r="M65"/>
    </row>
    <row r="66" spans="3:13" ht="17" x14ac:dyDescent="0.25">
      <c r="D66" s="25" t="s">
        <v>37</v>
      </c>
      <c r="E66" s="43">
        <f>E64</f>
        <v>0.24021285452823243</v>
      </c>
      <c r="M66"/>
    </row>
    <row r="67" spans="3:13" x14ac:dyDescent="0.2">
      <c r="E67"/>
      <c r="F67"/>
      <c r="G67"/>
      <c r="H67"/>
      <c r="I67"/>
      <c r="J67"/>
      <c r="K67"/>
      <c r="L67"/>
      <c r="M67"/>
    </row>
    <row r="68" spans="3:13" x14ac:dyDescent="0.2">
      <c r="C68" s="32" t="s">
        <v>28</v>
      </c>
    </row>
    <row r="69" spans="3:13" x14ac:dyDescent="0.2">
      <c r="C69" s="25" t="s">
        <v>29</v>
      </c>
    </row>
  </sheetData>
  <sheetProtection algorithmName="SHA-512" hashValue="pHJvvXAS/kWe4VH1YBk/CDq62iv5KRKmYKhUQRSV982xN1MWwbezqyfQxNG9sgl+QN+7ReSorbHpanlwFLPpDw==" saltValue="VlJfYmuyC1lGZe7DHxPvqA==" spinCount="100000" sheet="1" objects="1" scenarios="1"/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CA9160-0140-4B10-8F2F-C81FFEEF2CC1}">
  <sheetPr codeName="Sheet3"/>
  <dimension ref="BD20:DH58"/>
  <sheetViews>
    <sheetView zoomScale="50" zoomScaleNormal="50" workbookViewId="0"/>
  </sheetViews>
  <sheetFormatPr baseColWidth="10" defaultColWidth="8.83203125" defaultRowHeight="15" x14ac:dyDescent="0.2"/>
  <sheetData>
    <row r="20" spans="56:59" x14ac:dyDescent="0.2">
      <c r="BD20" s="46">
        <v>45189.655497685184</v>
      </c>
    </row>
    <row r="22" spans="56:59" x14ac:dyDescent="0.2">
      <c r="BG22" t="s">
        <v>55</v>
      </c>
    </row>
    <row r="58" spans="112:112" x14ac:dyDescent="0.2">
      <c r="DH58" t="s">
        <v>53</v>
      </c>
    </row>
  </sheetData>
  <sheetProtection algorithmName="SHA-512" hashValue="7U3BAq3R9zC0PfRY+Qin/41J3Y2uZ9wsC9BalTdEotr5Zph4Lbk/EYJHuET8Xfw1rUOc5XBqpDD55/M+SC0J9Q==" saltValue="W9sJ9sm5nZZlhl2OEpq5Fg==" spinCount="100000" sheet="1" objects="1" scenario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9</vt:i4>
      </vt:variant>
    </vt:vector>
  </HeadingPairs>
  <TitlesOfParts>
    <vt:vector size="12" baseType="lpstr">
      <vt:lpstr>Name</vt:lpstr>
      <vt:lpstr>varcovmatrix</vt:lpstr>
      <vt:lpstr>Portfolios</vt:lpstr>
      <vt:lpstr>df_1</vt:lpstr>
      <vt:lpstr>df_2</vt:lpstr>
      <vt:lpstr>dumbass</vt:lpstr>
      <vt:lpstr>excess</vt:lpstr>
      <vt:lpstr>means</vt:lpstr>
      <vt:lpstr>returns</vt:lpstr>
      <vt:lpstr>transpose</vt:lpstr>
      <vt:lpstr>varcov</vt:lpstr>
      <vt:lpstr>weights</vt:lpstr>
    </vt:vector>
  </TitlesOfParts>
  <Company>Monash University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acrawfor</dc:creator>
  <cp:lastModifiedBy>Grant Fullston</cp:lastModifiedBy>
  <dcterms:created xsi:type="dcterms:W3CDTF">2009-11-12T23:22:44Z</dcterms:created>
  <dcterms:modified xsi:type="dcterms:W3CDTF">2023-10-05T01:04:32Z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BFC3540A">
    <vt:lpwstr>2019Semester2</vt:lpwstr>
  </property>
  <property fmtid="{D5CDD505-2E9C-101B-9397-08002B2CF9AE}" pid="3" name="BFC3540B">
    <vt:lpwstr>ÍÏÎÇ¬Î|¼</vt:lpwstr>
  </property>
  <property fmtid="{D5CDD505-2E9C-101B-9397-08002B2CF9AE}" pid="4" name="BFC3540C">
    <vt:lpwstr>ÍÏÎÇ¬Î|½¹¼ÌÊËÏ «¯</vt:lpwstr>
  </property>
  <property fmtid="{D5CDD505-2E9C-101B-9397-08002B2CF9AE}" pid="5" name="BFC3540D">
    <vt:lpwstr>ÍÏÎÇ¬Î|</vt:lpwstr>
  </property>
  <property fmtid="{D5CDD505-2E9C-101B-9397-08002B2CF9AE}" pid="6" name="BFC3540E">
    <vt:lpwstr>ÍÏÎÇ¬Î|</vt:lpwstr>
  </property>
  <property fmtid="{D5CDD505-2E9C-101B-9397-08002B2CF9AE}" pid="7" name="BFC3540F">
    <vt:lpwstr>120960</vt:lpwstr>
  </property>
</Properties>
</file>