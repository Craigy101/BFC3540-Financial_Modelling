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0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9/"/>
    </mc:Choice>
  </mc:AlternateContent>
  <xr:revisionPtr revIDLastSave="0" documentId="13_ncr:1_{BE8A683A-853A-144B-9620-F5B7C3868F07}" xr6:coauthVersionLast="47" xr6:coauthVersionMax="47" xr10:uidLastSave="{00000000-0000-0000-0000-000000000000}"/>
  <bookViews>
    <workbookView xWindow="43080" yWindow="-19920" windowWidth="29100" windowHeight="17940" activeTab="1" xr2:uid="{00000000-000D-0000-FFFF-FFFF00000000}"/>
  </bookViews>
  <sheets>
    <sheet name="Name" sheetId="2" r:id="rId1"/>
    <sheet name="Sheet2" sheetId="1" r:id="rId2"/>
    <sheet name="other" sheetId="4" state="veryHidden" r:id="rId3"/>
  </sheets>
  <externalReferences>
    <externalReference r:id="rId4"/>
    <externalReference r:id="rId5"/>
    <externalReference r:id="rId6"/>
  </externalReferences>
  <definedNames>
    <definedName name="â" hidden="1">other!$BM$10</definedName>
    <definedName name="AllOrds_Mean">Sheet2!$I$59</definedName>
    <definedName name="CustomVariablesStoredValue">#REF!</definedName>
    <definedName name="CustomVariablesValue">#REF!</definedName>
    <definedName name="df_1">Sheet2!$I$35:$O$37,Sheet2!$I$43:$I$45,Sheet2!$I$50:$J$55,Sheet2!$I$59:$I$60,Sheet2!$H$67:$H$72,Sheet2!$K$67:$K$72,Sheet2!$H$76:$I$81,Sheet2!$K$76:$L$81,Sheet2!$I$84:$J$86,Sheet2!$I$88,Sheet2!$I$93:$I$94,Sheet2!$K$157:$K$162,Sheet2!$O$169:$O$178,Sheet2!$I$184:$O$185,Sheet2!$I$190:$I$192</definedName>
    <definedName name="è" hidden="1">other!$DV$48</definedName>
    <definedName name="î" hidden="1">other!$CM$12</definedName>
    <definedName name="Increment">Sheet2!$H$99</definedName>
    <definedName name="ö" hidden="1">other!$DM$18</definedName>
    <definedName name="Port_Mean">Sheet2!$I$93</definedName>
    <definedName name="Port_SD">Sheet2!$I$94</definedName>
    <definedName name="Portfolio_Mean1">'[1]Set 1 - Task 3'!$C$19</definedName>
    <definedName name="Portfolio_Mean2">'[1]Set 2 - Task 3'!$C$19</definedName>
    <definedName name="Portfolio_Mean3">'[1]Set 3 - Task 3'!$C$19</definedName>
    <definedName name="PropX">Sheet2!$J$101</definedName>
    <definedName name="PropX1">Sheet2!$J$99</definedName>
    <definedName name="Range1" hidden="1">other!$BN$10</definedName>
    <definedName name="Range2" hidden="1">other!$BQ$12</definedName>
    <definedName name="Range3" hidden="1">other!$DD$18</definedName>
    <definedName name="Range4" hidden="1">other!$DR$48</definedName>
    <definedName name="Stock_Dates">[2]VarCov!$B$6:$B$15</definedName>
    <definedName name="Stock_Name">[2]VarCov!$C$5:$H$5</definedName>
    <definedName name="Stock1">'[3]Set 1 - Task 1'!$D$5</definedName>
    <definedName name="Stock1_Data">'[1]Set 1 - Task 1'!$C$6:$C$15</definedName>
    <definedName name="Stock1_Proportion">'[1]Set 1 - Task 3'!$C$14</definedName>
    <definedName name="Stock2">'[3]Set 1 - Task 1'!$E$5</definedName>
    <definedName name="Stock2_Data">'[1]Set 1 - Task 1'!$D$6:$D$15</definedName>
    <definedName name="Stock3">'[3]Set 2 - Task 1'!$D$5</definedName>
    <definedName name="Stock3_Data">'[1]Set 2 - Task 1'!$C$6:$C$15</definedName>
    <definedName name="Stock3_Proportion">'[1]Set 2 - Task 3'!$C$14</definedName>
    <definedName name="Stock4">'[3]Set 2 - Task 1'!$E$5</definedName>
    <definedName name="Stock4_Data">'[1]Set 2 - Task 1'!$D$6:$D$15</definedName>
    <definedName name="Stock5">'[3]Set 3 - Task 1'!$D$5</definedName>
    <definedName name="Stock5_Data">'[1]Set 3 - Task 1'!$C$6:$C$15</definedName>
    <definedName name="Stock5_Proportion">'[1]Set 3 - Task 3'!$C$14</definedName>
    <definedName name="Stock6">'[3]Set 3 - Task 1'!$E$5</definedName>
    <definedName name="Stock6_Data">'[1]Set 3 - Task 1'!$D$6:$D$15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57" i="1" l="1"/>
  <c r="I192" i="1"/>
  <c r="I191" i="1"/>
  <c r="I190" i="1"/>
  <c r="O185" i="1"/>
  <c r="J185" i="1"/>
  <c r="K185" i="1"/>
  <c r="L185" i="1"/>
  <c r="M185" i="1"/>
  <c r="N185" i="1"/>
  <c r="I185" i="1"/>
  <c r="J184" i="1"/>
  <c r="K184" i="1"/>
  <c r="L184" i="1"/>
  <c r="M184" i="1"/>
  <c r="N184" i="1"/>
  <c r="O184" i="1"/>
  <c r="I184" i="1"/>
  <c r="O170" i="1" a="1"/>
  <c r="O170" i="1"/>
  <c r="O171" i="1" a="1"/>
  <c r="O171" i="1" s="1"/>
  <c r="O172" i="1" a="1"/>
  <c r="O172" i="1"/>
  <c r="O173" i="1" a="1"/>
  <c r="O173" i="1"/>
  <c r="O174" i="1" a="1"/>
  <c r="O174" i="1"/>
  <c r="O175" i="1" a="1"/>
  <c r="O175" i="1"/>
  <c r="O176" i="1" a="1"/>
  <c r="O176" i="1"/>
  <c r="O177" i="1" a="1"/>
  <c r="O177" i="1" s="1"/>
  <c r="O178" i="1" a="1"/>
  <c r="O178" i="1"/>
  <c r="O169" i="1" a="1"/>
  <c r="O169" i="1" s="1"/>
  <c r="K158" i="1"/>
  <c r="K159" i="1"/>
  <c r="K160" i="1"/>
  <c r="K161" i="1"/>
  <c r="K162" i="1"/>
  <c r="I85" i="1" a="1"/>
  <c r="I85" i="1" s="1"/>
  <c r="I88" i="1" a="1"/>
  <c r="I88" i="1" s="1"/>
  <c r="J86" i="1"/>
  <c r="J85" i="1" a="1"/>
  <c r="J85" i="1" s="1"/>
  <c r="L77" i="1"/>
  <c r="L78" i="1"/>
  <c r="L79" i="1"/>
  <c r="L80" i="1"/>
  <c r="L81" i="1"/>
  <c r="L76" i="1"/>
  <c r="K68" i="1"/>
  <c r="K69" i="1"/>
  <c r="K70" i="1"/>
  <c r="K71" i="1"/>
  <c r="K72" i="1"/>
  <c r="K67" i="1"/>
  <c r="I84" i="1"/>
  <c r="K76" i="1" a="1"/>
  <c r="K76" i="1" s="1"/>
  <c r="I77" i="1"/>
  <c r="I78" i="1"/>
  <c r="I79" i="1"/>
  <c r="I80" i="1"/>
  <c r="I81" i="1"/>
  <c r="I76" i="1"/>
  <c r="H76" i="1" a="1"/>
  <c r="H76" i="1" s="1"/>
  <c r="I86" i="1" l="1"/>
  <c r="K78" i="1"/>
  <c r="K77" i="1"/>
  <c r="K79" i="1"/>
  <c r="K81" i="1"/>
  <c r="K80" i="1"/>
  <c r="H81" i="1"/>
  <c r="H77" i="1"/>
  <c r="H79" i="1"/>
  <c r="H78" i="1"/>
  <c r="H80" i="1"/>
  <c r="H69" i="1"/>
  <c r="H70" i="1"/>
  <c r="H71" i="1"/>
  <c r="H72" i="1"/>
  <c r="H68" i="1"/>
  <c r="H67" i="1"/>
  <c r="I60" i="1"/>
  <c r="I59" i="1"/>
  <c r="I50" i="1" a="1"/>
  <c r="I50" i="1" s="1"/>
  <c r="I44" i="1"/>
  <c r="I45" i="1"/>
  <c r="I43" i="1"/>
  <c r="I37" i="1"/>
  <c r="J37" i="1"/>
  <c r="K37" i="1"/>
  <c r="L37" i="1"/>
  <c r="M37" i="1"/>
  <c r="N37" i="1"/>
  <c r="O37" i="1"/>
  <c r="J36" i="1"/>
  <c r="K36" i="1"/>
  <c r="L36" i="1"/>
  <c r="M36" i="1"/>
  <c r="N36" i="1"/>
  <c r="O36" i="1"/>
  <c r="I36" i="1"/>
  <c r="J35" i="1"/>
  <c r="K35" i="1"/>
  <c r="L35" i="1"/>
  <c r="M35" i="1"/>
  <c r="N35" i="1"/>
  <c r="O35" i="1"/>
  <c r="I35" i="1"/>
  <c r="M101" i="1"/>
  <c r="J100" i="1"/>
  <c r="J101" i="1" s="1"/>
  <c r="I91" i="1" s="1"/>
  <c r="I51" i="1" l="1"/>
  <c r="J55" i="1"/>
  <c r="J53" i="1"/>
  <c r="J51" i="1"/>
  <c r="J50" i="1"/>
  <c r="I55" i="1"/>
  <c r="I53" i="1"/>
  <c r="J54" i="1"/>
  <c r="J52" i="1"/>
  <c r="I54" i="1"/>
  <c r="I52" i="1"/>
  <c r="I153" i="1"/>
  <c r="J102" i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I154" i="1"/>
  <c r="I92" i="1"/>
  <c r="I94" i="1" s="1"/>
  <c r="O34" i="1"/>
  <c r="I93" i="1" l="1" a="1"/>
  <c r="I93" i="1" s="1"/>
  <c r="J84" i="1"/>
  <c r="M34" i="1"/>
  <c r="I34" i="1"/>
  <c r="N34" i="1"/>
  <c r="J34" i="1"/>
  <c r="K34" i="1"/>
  <c r="L34" i="1"/>
  <c r="J158" i="1" l="1"/>
  <c r="J162" i="1"/>
  <c r="J160" i="1"/>
  <c r="J161" i="1" l="1"/>
  <c r="J159" i="1"/>
  <c r="I160" i="1"/>
  <c r="I158" i="1"/>
  <c r="I161" i="1"/>
  <c r="I162" i="1"/>
  <c r="I159" i="1"/>
  <c r="J157" i="1"/>
  <c r="L98" i="1" l="1"/>
  <c r="K98" i="1"/>
  <c r="I15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<sst xmlns="http://schemas.openxmlformats.org/spreadsheetml/2006/main" count="143" uniqueCount="82">
  <si>
    <t>Name:</t>
  </si>
  <si>
    <t>Given:</t>
  </si>
  <si>
    <t>Variance-covariance matrix</t>
  </si>
  <si>
    <t>Problem 1</t>
  </si>
  <si>
    <t>Calculate the mean returns and beta for each security. Beta can be calculated using</t>
  </si>
  <si>
    <t>mean</t>
  </si>
  <si>
    <t>beta(i)</t>
  </si>
  <si>
    <t>beta(ii)</t>
  </si>
  <si>
    <t>Problem 2</t>
  </si>
  <si>
    <t>Determine the equation of Security Market Line (SML) using</t>
  </si>
  <si>
    <r>
      <t xml:space="preserve">(i) </t>
    </r>
    <r>
      <rPr>
        <b/>
        <sz val="10"/>
        <rFont val="Arial"/>
        <family val="2"/>
      </rPr>
      <t>Intercept</t>
    </r>
    <r>
      <rPr>
        <sz val="10"/>
        <rFont val="Arial"/>
        <family val="2"/>
      </rPr>
      <t xml:space="preserve">(mean of the six securities,beta of the six securities), </t>
    </r>
    <r>
      <rPr>
        <b/>
        <sz val="10"/>
        <rFont val="Arial"/>
        <family val="2"/>
      </rPr>
      <t>Slope</t>
    </r>
    <r>
      <rPr>
        <sz val="10"/>
        <rFont val="Arial"/>
        <family val="2"/>
      </rPr>
      <t xml:space="preserve">(mean,beta) and </t>
    </r>
    <r>
      <rPr>
        <b/>
        <sz val="10"/>
        <rFont val="Arial"/>
        <family val="2"/>
      </rPr>
      <t>Rsq</t>
    </r>
    <r>
      <rPr>
        <sz val="10"/>
        <rFont val="Arial"/>
        <family val="2"/>
      </rPr>
      <t>(mean,beta) or</t>
    </r>
  </si>
  <si>
    <r>
      <t>(ii) Regression Analysis Tool (</t>
    </r>
    <r>
      <rPr>
        <b/>
        <sz val="10"/>
        <rFont val="Arial"/>
        <family val="2"/>
      </rPr>
      <t>Tools&gt;Data Analysis&gt;Regression</t>
    </r>
    <r>
      <rPr>
        <sz val="10"/>
        <rFont val="Arial"/>
        <family val="2"/>
      </rPr>
      <t>)</t>
    </r>
  </si>
  <si>
    <t>Method 1</t>
  </si>
  <si>
    <t>Intercept</t>
  </si>
  <si>
    <t>Slope</t>
  </si>
  <si>
    <t>R-squared</t>
  </si>
  <si>
    <t>Method 2</t>
  </si>
  <si>
    <t>Transpose the mean and beta of the six assets into the blue region and then follow the</t>
  </si>
  <si>
    <t>instructions on the tutorial handout</t>
  </si>
  <si>
    <t>beta</t>
  </si>
  <si>
    <t>Problem 3</t>
  </si>
  <si>
    <t>std dev</t>
  </si>
  <si>
    <t>Problem 4</t>
  </si>
  <si>
    <t>Derive the two efficient portfolio using c=0 and c=0.1, and the efficient frontier</t>
  </si>
  <si>
    <t>Step 1</t>
  </si>
  <si>
    <t>c =</t>
  </si>
  <si>
    <t>Mean minus constant</t>
  </si>
  <si>
    <t>Step 2</t>
  </si>
  <si>
    <t>Weights of the two efficient portfolios</t>
  </si>
  <si>
    <t>z</t>
  </si>
  <si>
    <t>x</t>
  </si>
  <si>
    <t>y</t>
  </si>
  <si>
    <t>Step 3</t>
  </si>
  <si>
    <t>Mean</t>
  </si>
  <si>
    <t>Variance</t>
  </si>
  <si>
    <t>Sigma</t>
  </si>
  <si>
    <t>Cov(x,y)</t>
  </si>
  <si>
    <t>Step 4</t>
  </si>
  <si>
    <t>Portfolio's mean and standard deviation:</t>
  </si>
  <si>
    <t>Proportion of x</t>
  </si>
  <si>
    <t>Proportion of y</t>
  </si>
  <si>
    <r>
      <t>E(r</t>
    </r>
    <r>
      <rPr>
        <i/>
        <vertAlign val="subscript"/>
        <sz val="10"/>
        <rFont val="Arial"/>
        <family val="2"/>
      </rPr>
      <t>p</t>
    </r>
    <r>
      <rPr>
        <i/>
        <sz val="10"/>
        <rFont val="Arial"/>
        <family val="2"/>
      </rPr>
      <t>)</t>
    </r>
  </si>
  <si>
    <r>
      <t>s</t>
    </r>
    <r>
      <rPr>
        <vertAlign val="subscript"/>
        <sz val="10"/>
        <rFont val="Arial"/>
        <family val="2"/>
      </rPr>
      <t>p</t>
    </r>
  </si>
  <si>
    <t>Step 5</t>
  </si>
  <si>
    <t>Standard deviation</t>
  </si>
  <si>
    <t>Increment</t>
  </si>
  <si>
    <t>Problem 5</t>
  </si>
  <si>
    <t xml:space="preserve">Use Goal Seek to manipulate the data table above so that one of the portfolio standard deviations </t>
  </si>
  <si>
    <t>Refer to instructions on the tutorial handout</t>
  </si>
  <si>
    <t>Problem 6</t>
  </si>
  <si>
    <t>Problem 7</t>
  </si>
  <si>
    <t>Since the portfolio proportions of x and y have already been determined in Step 2 of Problem 4,</t>
  </si>
  <si>
    <t>we can derive the composition of the "market" portfolio</t>
  </si>
  <si>
    <t>"Market" portfolio</t>
  </si>
  <si>
    <t>Calculate the annual return of the "market" portfolio for each year by multiplying the return on each</t>
  </si>
  <si>
    <t>asset by the proportions in the "market" portfolio.</t>
  </si>
  <si>
    <r>
      <t xml:space="preserve">Calculate the mean and beta (using </t>
    </r>
    <r>
      <rPr>
        <b/>
        <sz val="10"/>
        <rFont val="Arial"/>
        <family val="2"/>
      </rPr>
      <t>slope()</t>
    </r>
    <r>
      <rPr>
        <sz val="10"/>
        <rFont val="Arial"/>
        <family val="2"/>
      </rPr>
      <t>)</t>
    </r>
    <r>
      <rPr>
        <sz val="11"/>
        <color theme="1"/>
        <rFont val="Calibri"/>
        <family val="2"/>
        <scheme val="minor"/>
      </rPr>
      <t xml:space="preserve"> with respect to the "market" portfolio</t>
    </r>
  </si>
  <si>
    <t>Derive the SML equation</t>
  </si>
  <si>
    <t>Authcate:</t>
  </si>
  <si>
    <t>All Ords</t>
  </si>
  <si>
    <t>All Ords mean</t>
  </si>
  <si>
    <t>Plot the efficient frontier and the All Ords. Is the All Ords efficient?</t>
  </si>
  <si>
    <t>Re-drive the equation of the SML using the "market portfolio" rather than the All Ords</t>
  </si>
  <si>
    <t>WEEKLY RETURNS ON SIX ASSETS AND "MARKET" PORTFOLIO</t>
  </si>
  <si>
    <t>is equal to the standard deviation of the All Ords</t>
  </si>
  <si>
    <r>
      <t xml:space="preserve">(ii) </t>
    </r>
    <r>
      <rPr>
        <b/>
        <sz val="10"/>
        <rFont val="Arial"/>
        <family val="2"/>
      </rPr>
      <t>Slope</t>
    </r>
    <r>
      <rPr>
        <sz val="10"/>
        <rFont val="Arial"/>
        <family val="2"/>
      </rPr>
      <t>(</t>
    </r>
    <r>
      <rPr>
        <i/>
        <sz val="10"/>
        <rFont val="Arial"/>
        <family val="2"/>
      </rPr>
      <t>mean returns,All Ords returns</t>
    </r>
    <r>
      <rPr>
        <sz val="10"/>
        <rFont val="Arial"/>
        <family val="2"/>
      </rPr>
      <t>)</t>
    </r>
  </si>
  <si>
    <r>
      <t xml:space="preserve">(i) </t>
    </r>
    <r>
      <rPr>
        <b/>
        <sz val="10"/>
        <rFont val="Arial"/>
        <family val="2"/>
      </rPr>
      <t>Covar</t>
    </r>
    <r>
      <rPr>
        <sz val="11"/>
        <color theme="1"/>
        <rFont val="Calibri"/>
        <family val="2"/>
        <scheme val="minor"/>
      </rPr>
      <t>(</t>
    </r>
    <r>
      <rPr>
        <i/>
        <sz val="10"/>
        <rFont val="Arial"/>
        <family val="2"/>
      </rPr>
      <t>security i's returns,All Ords returns</t>
    </r>
    <r>
      <rPr>
        <sz val="11"/>
        <color theme="1"/>
        <rFont val="Calibri"/>
        <family val="2"/>
        <scheme val="minor"/>
      </rPr>
      <t>)/</t>
    </r>
    <r>
      <rPr>
        <b/>
        <sz val="10"/>
        <rFont val="Arial"/>
        <family val="2"/>
      </rPr>
      <t>Varp</t>
    </r>
    <r>
      <rPr>
        <sz val="11"/>
        <color theme="1"/>
        <rFont val="Calibri"/>
        <family val="2"/>
        <scheme val="minor"/>
      </rPr>
      <t>(</t>
    </r>
    <r>
      <rPr>
        <i/>
        <sz val="10"/>
        <rFont val="Arial"/>
        <family val="2"/>
      </rPr>
      <t>All Ords returns</t>
    </r>
    <r>
      <rPr>
        <sz val="11"/>
        <color theme="1"/>
        <rFont val="Calibri"/>
        <family val="2"/>
        <scheme val="minor"/>
      </rPr>
      <t>) or</t>
    </r>
  </si>
  <si>
    <t>Annual Returns on six assets and the SP500 portfolio</t>
  </si>
  <si>
    <t xml:space="preserve">   AMR</t>
  </si>
  <si>
    <t xml:space="preserve">    BS</t>
  </si>
  <si>
    <t xml:space="preserve">    GE</t>
  </si>
  <si>
    <t xml:space="preserve">    HR</t>
  </si>
  <si>
    <t xml:space="preserve">    MO</t>
  </si>
  <si>
    <t xml:space="preserve">    UK</t>
  </si>
  <si>
    <t>SP500</t>
  </si>
  <si>
    <t>File:</t>
  </si>
  <si>
    <r>
      <t xml:space="preserve">Calculate the mean (using </t>
    </r>
    <r>
      <rPr>
        <b/>
        <sz val="10"/>
        <rFont val="Arial"/>
        <family val="2"/>
      </rPr>
      <t>Average()</t>
    </r>
    <r>
      <rPr>
        <sz val="10"/>
        <rFont val="Arial"/>
        <family val="2"/>
      </rPr>
      <t xml:space="preserve">) </t>
    </r>
    <r>
      <rPr>
        <sz val="11"/>
        <color theme="1"/>
        <rFont val="Calibri"/>
        <family val="2"/>
        <scheme val="minor"/>
      </rPr>
      <t xml:space="preserve">and standard deviation (using </t>
    </r>
    <r>
      <rPr>
        <b/>
        <sz val="10"/>
        <rFont val="Arial"/>
        <family val="2"/>
      </rPr>
      <t>Stdevp()</t>
    </r>
    <r>
      <rPr>
        <sz val="10"/>
        <rFont val="Arial"/>
        <family val="2"/>
      </rPr>
      <t>)</t>
    </r>
    <r>
      <rPr>
        <sz val="11"/>
        <color theme="1"/>
        <rFont val="Calibri"/>
        <family val="2"/>
        <scheme val="minor"/>
      </rPr>
      <t xml:space="preserve"> of SP500)</t>
    </r>
  </si>
  <si>
    <t>Create Data Table</t>
  </si>
  <si>
    <t>SS5</t>
  </si>
  <si>
    <t>0vh6uj0CrbL5b2HYCXGLqcZRnkBb4B6KOg57IUOxGc0NG4fqrpvdVdDTSlptjDVM3hk9hm3FeufPvMKsWqae9fsl73UuOEAOizPAMoiHJwKQaNzAA8EgoxXmm59C2WogN14S06MIyEiiFPeBZAdyTyC4Q6X</t>
  </si>
  <si>
    <t>Grant Fullston</t>
  </si>
  <si>
    <t>gful0002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</si>
</sst>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0"/>
  </numFmts>
  <fonts count="13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u/>
      <sz val="10"/>
      <color indexed="12"/>
      <name val="Arial"/>
      <family val="2"/>
    </font>
    <font>
      <u/>
      <sz val="12"/>
      <color indexed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i/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99CC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6" fillId="0" borderId="0"/>
    <xf numFmtId="0" fontId="12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</cellStyleXfs>
  <cellXfs count="50">
    <xf numFmtId="0" fontId="0" fillId="0" borderId="0" xfId="0"/>
    <xf numFmtId="0" fontId="1" fillId="2" borderId="0" xfId="0" applyFont="1" applyFill="1"/>
    <xf numFmtId="0" fontId="1" fillId="2" borderId="0" xfId="0" applyFont="1" applyFill="1" applyProtection="1">
      <protection locked="0"/>
    </xf>
    <xf numFmtId="0" fontId="0" fillId="2" borderId="0" xfId="0" applyFill="1"/>
    <xf numFmtId="0" fontId="3" fillId="2" borderId="0" xfId="1" applyFont="1" applyFill="1" applyAlignment="1" applyProtection="1">
      <protection locked="0"/>
    </xf>
    <xf numFmtId="0" fontId="4" fillId="0" borderId="1" xfId="0" applyFont="1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0" fontId="0" fillId="0" borderId="5" xfId="0" applyBorder="1"/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centerContinuous"/>
    </xf>
    <xf numFmtId="0" fontId="4" fillId="0" borderId="5" xfId="0" applyFont="1" applyBorder="1" applyAlignment="1">
      <alignment horizontal="centerContinuous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164" fontId="0" fillId="0" borderId="5" xfId="0" applyNumberFormat="1" applyBorder="1" applyAlignment="1">
      <alignment horizontal="right"/>
    </xf>
    <xf numFmtId="0" fontId="0" fillId="0" borderId="4" xfId="0" applyBorder="1"/>
    <xf numFmtId="0" fontId="4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6" fillId="0" borderId="0" xfId="0" applyNumberFormat="1" applyFont="1" applyAlignment="1">
      <alignment horizontal="center"/>
    </xf>
    <xf numFmtId="164" fontId="0" fillId="3" borderId="0" xfId="0" applyNumberFormat="1" applyFill="1" applyProtection="1">
      <protection locked="0"/>
    </xf>
    <xf numFmtId="164" fontId="0" fillId="0" borderId="0" xfId="0" applyNumberFormat="1"/>
    <xf numFmtId="0" fontId="0" fillId="0" borderId="0" xfId="0" applyAlignment="1">
      <alignment horizontal="center"/>
    </xf>
    <xf numFmtId="164" fontId="6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0" xfId="0" applyNumberFormat="1" applyFont="1" applyAlignment="1">
      <alignment horizontal="left"/>
    </xf>
    <xf numFmtId="2" fontId="0" fillId="0" borderId="0" xfId="0" applyNumberFormat="1" applyAlignment="1">
      <alignment horizontal="center" wrapText="1"/>
    </xf>
    <xf numFmtId="0" fontId="4" fillId="0" borderId="0" xfId="0" applyFont="1" applyAlignment="1">
      <alignment horizontal="center"/>
    </xf>
    <xf numFmtId="164" fontId="0" fillId="3" borderId="0" xfId="0" applyNumberFormat="1" applyFill="1" applyAlignment="1" applyProtection="1">
      <alignment horizontal="center" wrapText="1"/>
      <protection locked="0"/>
    </xf>
    <xf numFmtId="2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wrapText="1"/>
    </xf>
    <xf numFmtId="0" fontId="0" fillId="4" borderId="0" xfId="0" applyFill="1" applyProtection="1">
      <protection locked="0"/>
    </xf>
    <xf numFmtId="164" fontId="0" fillId="5" borderId="0" xfId="0" applyNumberFormat="1" applyFill="1"/>
    <xf numFmtId="164" fontId="0" fillId="5" borderId="0" xfId="0" applyNumberFormat="1" applyFill="1" applyAlignment="1">
      <alignment horizontal="center" wrapText="1"/>
    </xf>
    <xf numFmtId="0" fontId="0" fillId="0" borderId="0" xfId="0" quotePrefix="1"/>
    <xf numFmtId="2" fontId="4" fillId="0" borderId="0" xfId="0" applyNumberFormat="1" applyFont="1" applyAlignment="1">
      <alignment horizontal="center" wrapText="1"/>
    </xf>
    <xf numFmtId="14" fontId="0" fillId="0" borderId="0" xfId="0" applyNumberFormat="1"/>
    <xf numFmtId="14" fontId="4" fillId="0" borderId="0" xfId="0" applyNumberFormat="1" applyFont="1"/>
    <xf numFmtId="165" fontId="0" fillId="3" borderId="0" xfId="0" applyNumberFormat="1" applyFill="1" applyAlignment="1" applyProtection="1">
      <alignment horizontal="center" wrapText="1"/>
      <protection locked="0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11" fillId="0" borderId="0" xfId="0" applyFont="1"/>
    <xf numFmtId="22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Percent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558573928259127"/>
          <c:y val="7.4548702245552642E-2"/>
          <c:w val="0.58508923884514441"/>
          <c:h val="0.89719889180519163"/>
        </c:manualLayout>
      </c:layout>
      <c:scatterChart>
        <c:scatterStyle val="lineMarker"/>
        <c:varyColors val="0"/>
        <c:ser>
          <c:idx val="0"/>
          <c:order val="0"/>
          <c:tx>
            <c:v>mean</c:v>
          </c:tx>
          <c:spPr>
            <a:ln w="28575">
              <a:noFill/>
            </a:ln>
          </c:spPr>
          <c:xVal>
            <c:numRef>
              <c:f>Sheet2!$K$98:$K$118</c:f>
              <c:numCache>
                <c:formatCode>0.0000</c:formatCode>
                <c:ptCount val="21"/>
                <c:pt idx="0">
                  <c:v>0.18964433037596454</c:v>
                </c:pt>
                <c:pt idx="1">
                  <c:v>0.17940702668277778</c:v>
                </c:pt>
                <c:pt idx="2">
                  <c:v>0.18415741763822624</c:v>
                </c:pt>
                <c:pt idx="3">
                  <c:v>0.18964433037596454</c:v>
                </c:pt>
                <c:pt idx="4">
                  <c:v>0.19580585777973716</c:v>
                </c:pt>
                <c:pt idx="5">
                  <c:v>0.20258045355490772</c:v>
                </c:pt>
                <c:pt idx="6">
                  <c:v>0.20990876758417773</c:v>
                </c:pt>
                <c:pt idx="7">
                  <c:v>0.2177348974772931</c:v>
                </c:pt>
                <c:pt idx="8">
                  <c:v>0.22600713434475714</c:v>
                </c:pt>
                <c:pt idx="9">
                  <c:v>0.23467830810399509</c:v>
                </c:pt>
                <c:pt idx="10">
                  <c:v>0.24370583936155688</c:v>
                </c:pt>
                <c:pt idx="11">
                  <c:v>0.25305159218592371</c:v>
                </c:pt>
                <c:pt idx="12">
                  <c:v>0.26268160346945485</c:v>
                </c:pt>
                <c:pt idx="13">
                  <c:v>0.27256574549873197</c:v>
                </c:pt>
                <c:pt idx="14">
                  <c:v>0.28267736160120416</c:v>
                </c:pt>
                <c:pt idx="15">
                  <c:v>0.29299290132851191</c:v>
                </c:pt>
                <c:pt idx="16">
                  <c:v>0.30349157158069984</c:v>
                </c:pt>
                <c:pt idx="17">
                  <c:v>0.31415501291033027</c:v>
                </c:pt>
                <c:pt idx="18">
                  <c:v>0.32496700536731304</c:v>
                </c:pt>
                <c:pt idx="19">
                  <c:v>0.33591320507335154</c:v>
                </c:pt>
                <c:pt idx="20">
                  <c:v>0.34698091076087539</c:v>
                </c:pt>
              </c:numCache>
            </c:numRef>
          </c:xVal>
          <c:yVal>
            <c:numRef>
              <c:f>Sheet2!$L$98:$L$118</c:f>
              <c:numCache>
                <c:formatCode>0.0000</c:formatCode>
                <c:ptCount val="21"/>
                <c:pt idx="0">
                  <c:v>0.22784100043736072</c:v>
                </c:pt>
                <c:pt idx="1">
                  <c:v>0.16113685099837555</c:v>
                </c:pt>
                <c:pt idx="2">
                  <c:v>0.19448892571786813</c:v>
                </c:pt>
                <c:pt idx="3">
                  <c:v>0.22784100043736072</c:v>
                </c:pt>
                <c:pt idx="4">
                  <c:v>0.2611930751568533</c:v>
                </c:pt>
                <c:pt idx="5">
                  <c:v>0.29454514987634589</c:v>
                </c:pt>
                <c:pt idx="6">
                  <c:v>0.32789722459583848</c:v>
                </c:pt>
                <c:pt idx="7">
                  <c:v>0.36124929931533106</c:v>
                </c:pt>
                <c:pt idx="8">
                  <c:v>0.39460137403482365</c:v>
                </c:pt>
                <c:pt idx="9">
                  <c:v>0.42795344875431623</c:v>
                </c:pt>
                <c:pt idx="10">
                  <c:v>0.46130552347380882</c:v>
                </c:pt>
                <c:pt idx="11">
                  <c:v>0.49465759819330141</c:v>
                </c:pt>
                <c:pt idx="12">
                  <c:v>0.52800967291279399</c:v>
                </c:pt>
                <c:pt idx="13">
                  <c:v>0.56136174763228663</c:v>
                </c:pt>
                <c:pt idx="14">
                  <c:v>0.59471382235177916</c:v>
                </c:pt>
                <c:pt idx="15">
                  <c:v>0.62806589707127181</c:v>
                </c:pt>
                <c:pt idx="16">
                  <c:v>0.66141797179076434</c:v>
                </c:pt>
                <c:pt idx="17">
                  <c:v>0.69477004651025687</c:v>
                </c:pt>
                <c:pt idx="18">
                  <c:v>0.72812212122974951</c:v>
                </c:pt>
                <c:pt idx="19">
                  <c:v>0.76147419594924215</c:v>
                </c:pt>
                <c:pt idx="20">
                  <c:v>0.79482627066873468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CC-4F17-95CF-8F9A3E0AECF7}"/>
            </c:ext>
          </c:extLst>
        </c:ser>
        <c:ser>
          <c:idx val="1"/>
          <c:order val="1"/>
          <c:tx>
            <c:v>SP500 Mean</c:v>
          </c:tx>
          <c:spPr>
            <a:ln w="28575">
              <a:noFill/>
            </a:ln>
          </c:spPr>
          <c:xVal>
            <c:numRef>
              <c:f>Sheet2!$K$98:$K$118</c:f>
              <c:numCache>
                <c:formatCode>0.0000</c:formatCode>
                <c:ptCount val="21"/>
                <c:pt idx="0">
                  <c:v>0.18964433037596454</c:v>
                </c:pt>
                <c:pt idx="1">
                  <c:v>0.17940702668277778</c:v>
                </c:pt>
                <c:pt idx="2">
                  <c:v>0.18415741763822624</c:v>
                </c:pt>
                <c:pt idx="3">
                  <c:v>0.18964433037596454</c:v>
                </c:pt>
                <c:pt idx="4">
                  <c:v>0.19580585777973716</c:v>
                </c:pt>
                <c:pt idx="5">
                  <c:v>0.20258045355490772</c:v>
                </c:pt>
                <c:pt idx="6">
                  <c:v>0.20990876758417773</c:v>
                </c:pt>
                <c:pt idx="7">
                  <c:v>0.2177348974772931</c:v>
                </c:pt>
                <c:pt idx="8">
                  <c:v>0.22600713434475714</c:v>
                </c:pt>
                <c:pt idx="9">
                  <c:v>0.23467830810399509</c:v>
                </c:pt>
                <c:pt idx="10">
                  <c:v>0.24370583936155688</c:v>
                </c:pt>
                <c:pt idx="11">
                  <c:v>0.25305159218592371</c:v>
                </c:pt>
                <c:pt idx="12">
                  <c:v>0.26268160346945485</c:v>
                </c:pt>
                <c:pt idx="13">
                  <c:v>0.27256574549873197</c:v>
                </c:pt>
                <c:pt idx="14">
                  <c:v>0.28267736160120416</c:v>
                </c:pt>
                <c:pt idx="15">
                  <c:v>0.29299290132851191</c:v>
                </c:pt>
                <c:pt idx="16">
                  <c:v>0.30349157158069984</c:v>
                </c:pt>
                <c:pt idx="17">
                  <c:v>0.31415501291033027</c:v>
                </c:pt>
                <c:pt idx="18">
                  <c:v>0.32496700536731304</c:v>
                </c:pt>
                <c:pt idx="19">
                  <c:v>0.33591320507335154</c:v>
                </c:pt>
                <c:pt idx="20">
                  <c:v>0.34698091076087539</c:v>
                </c:pt>
              </c:numCache>
            </c:numRef>
          </c:xVal>
          <c:yVal>
            <c:numRef>
              <c:f>Sheet2!$M$98:$M$118</c:f>
              <c:numCache>
                <c:formatCode>0.0000</c:formatCode>
                <c:ptCount val="21"/>
                <c:pt idx="3">
                  <c:v>0.12382639786639286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CC-4F17-95CF-8F9A3E0AE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68512"/>
        <c:axId val="111739264"/>
      </c:scatterChart>
      <c:valAx>
        <c:axId val="110768512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1739264"/>
        <c:crosses val="autoZero"/>
        <c:crossBetween val="midCat"/>
      </c:valAx>
      <c:valAx>
        <c:axId val="111739264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76851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125</xdr:row>
      <xdr:rowOff>38100</xdr:rowOff>
    </xdr:from>
    <xdr:to>
      <xdr:col>16</xdr:col>
      <xdr:colOff>142875</xdr:colOff>
      <xdr:row>142</xdr:row>
      <xdr:rowOff>133350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imdin/Google%20Drive/People/Paul%20Lajbcygier/Master%20Slave/W1SS_Sl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imdin/Google%20Drive/People/Paul%20Lajbcygier/Master%20Slave/W3SS_Slav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imdin/Google%20Drive/People/Paul%20Lajbcygier/Master%20Slave/W2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PLS</v>
          </cell>
        </row>
        <row r="6">
          <cell r="C6">
            <v>0.21205871888971681</v>
          </cell>
          <cell r="D6">
            <v>1.8182319083190547E-2</v>
          </cell>
        </row>
        <row r="7">
          <cell r="C7">
            <v>2.5158559636154931E-2</v>
          </cell>
          <cell r="D7">
            <v>-3.0490166757787276E-2</v>
          </cell>
        </row>
        <row r="8">
          <cell r="C8">
            <v>-7.0769070888207261E-2</v>
          </cell>
          <cell r="D8">
            <v>-1.2461220437812002E-2</v>
          </cell>
        </row>
        <row r="9">
          <cell r="C9">
            <v>3.9220713153281329E-2</v>
          </cell>
          <cell r="D9">
            <v>8.1247672272879781E-2</v>
          </cell>
        </row>
        <row r="10">
          <cell r="C10">
            <v>8.0042707673536356E-2</v>
          </cell>
          <cell r="D10">
            <v>4.2439183275156722E-2</v>
          </cell>
        </row>
        <row r="11">
          <cell r="C11">
            <v>0.1931112642153347</v>
          </cell>
          <cell r="D11">
            <v>-7.1766798369676685E-2</v>
          </cell>
        </row>
        <row r="12">
          <cell r="C12">
            <v>-0.10265415406008321</v>
          </cell>
          <cell r="D12">
            <v>-1.8018505502678365E-2</v>
          </cell>
        </row>
        <row r="13">
          <cell r="C13">
            <v>5.2643733485421881E-2</v>
          </cell>
          <cell r="D13">
            <v>3.5718082602079246E-2</v>
          </cell>
        </row>
        <row r="14">
          <cell r="C14">
            <v>5.4876610225834302E-2</v>
          </cell>
          <cell r="D14">
            <v>-6.3369613932589261E-2</v>
          </cell>
        </row>
        <row r="15">
          <cell r="C15">
            <v>-8.0852096629095024E-2</v>
          </cell>
          <cell r="D15">
            <v>3.1104224143925518E-3</v>
          </cell>
        </row>
      </sheetData>
      <sheetData sheetId="2">
        <row r="5">
          <cell r="C5" t="str">
            <v>AMP</v>
          </cell>
        </row>
        <row r="6">
          <cell r="C6">
            <v>-8.3160562416575053E-3</v>
          </cell>
          <cell r="D6">
            <v>-1.4750809758148253E-2</v>
          </cell>
        </row>
        <row r="7">
          <cell r="C7">
            <v>5.0875670660453405E-2</v>
          </cell>
          <cell r="D7">
            <v>1.8190194060057709E-2</v>
          </cell>
        </row>
        <row r="8">
          <cell r="C8">
            <v>7.9051795071132473E-3</v>
          </cell>
          <cell r="D8">
            <v>2.2072203355499215E-2</v>
          </cell>
        </row>
        <row r="9">
          <cell r="C9">
            <v>-2.390552085355448E-2</v>
          </cell>
          <cell r="D9">
            <v>8.3612527246834031E-3</v>
          </cell>
        </row>
        <row r="10">
          <cell r="C10">
            <v>1.798250255043227E-2</v>
          </cell>
          <cell r="D10">
            <v>-7.6994347269455921E-2</v>
          </cell>
        </row>
        <row r="11">
          <cell r="C11">
            <v>2.3484445233069327E-2</v>
          </cell>
          <cell r="D11">
            <v>-1.8001805041478545E-3</v>
          </cell>
        </row>
        <row r="12">
          <cell r="C12">
            <v>-7.7670293376596589E-3</v>
          </cell>
          <cell r="D12">
            <v>-9.0130695601277572E-4</v>
          </cell>
        </row>
        <row r="13">
          <cell r="C13">
            <v>0</v>
          </cell>
          <cell r="D13">
            <v>1.6100526689409138E-2</v>
          </cell>
        </row>
        <row r="14">
          <cell r="C14">
            <v>5.8309203107931437E-3</v>
          </cell>
          <cell r="D14">
            <v>5.1027065517894481E-2</v>
          </cell>
        </row>
        <row r="15">
          <cell r="C15">
            <v>1.347469858336019E-2</v>
          </cell>
          <cell r="D15">
            <v>-3.1694301708914976E-2</v>
          </cell>
        </row>
      </sheetData>
      <sheetData sheetId="3">
        <row r="5">
          <cell r="C5" t="str">
            <v>LLC</v>
          </cell>
        </row>
        <row r="6">
          <cell r="C6">
            <v>2.1529896524668985E-2</v>
          </cell>
          <cell r="D6">
            <v>-1.0230268250814922E-2</v>
          </cell>
        </row>
        <row r="7">
          <cell r="C7">
            <v>1.1403925146579941E-2</v>
          </cell>
          <cell r="D7">
            <v>1.2771565679487539E-2</v>
          </cell>
        </row>
        <row r="8">
          <cell r="C8">
            <v>-0.10045297094695781</v>
          </cell>
          <cell r="D8">
            <v>2.2585652648749288E-2</v>
          </cell>
        </row>
        <row r="9">
          <cell r="C9">
            <v>-4.1878613404747406E-3</v>
          </cell>
          <cell r="D9">
            <v>0</v>
          </cell>
        </row>
        <row r="10">
          <cell r="C10">
            <v>-1.8149379555740097E-2</v>
          </cell>
          <cell r="D10">
            <v>0</v>
          </cell>
        </row>
        <row r="11">
          <cell r="C11">
            <v>1.2136132332288337E-2</v>
          </cell>
          <cell r="D11">
            <v>3.8934357975454685E-2</v>
          </cell>
        </row>
        <row r="12">
          <cell r="C12">
            <v>-2.0719814973616985E-2</v>
          </cell>
          <cell r="D12">
            <v>-1.4423326961105052E-2</v>
          </cell>
        </row>
        <row r="13">
          <cell r="C13">
            <v>-1.176854746280483E-2</v>
          </cell>
          <cell r="D13">
            <v>1.4423326961105125E-2</v>
          </cell>
        </row>
        <row r="14">
          <cell r="C14">
            <v>-6.8771139086579759E-3</v>
          </cell>
          <cell r="D14">
            <v>9.5012591241402152E-3</v>
          </cell>
        </row>
        <row r="15">
          <cell r="C15">
            <v>9.9875986283484118E-3</v>
          </cell>
          <cell r="D15">
            <v>-2.3668650102662793E-3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  <row r="19">
          <cell r="C19">
            <v>0</v>
          </cell>
        </row>
      </sheetData>
      <sheetData sheetId="8">
        <row r="14">
          <cell r="C14">
            <v>0.5</v>
          </cell>
        </row>
        <row r="19">
          <cell r="C19">
            <v>0</v>
          </cell>
        </row>
      </sheetData>
      <sheetData sheetId="9">
        <row r="14">
          <cell r="C14">
            <v>0.5</v>
          </cell>
        </row>
        <row r="19">
          <cell r="C19">
            <v>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VarCov"/>
      <sheetName val="CustomVariables"/>
    </sheetNames>
    <sheetDataSet>
      <sheetData sheetId="0" refreshError="1"/>
      <sheetData sheetId="1">
        <row r="5">
          <cell r="C5" t="str">
            <v>PLS</v>
          </cell>
          <cell r="D5" t="str">
            <v>S32</v>
          </cell>
          <cell r="E5" t="str">
            <v>AMP</v>
          </cell>
          <cell r="F5" t="str">
            <v>BEN</v>
          </cell>
          <cell r="G5" t="str">
            <v>LLC</v>
          </cell>
          <cell r="H5" t="str">
            <v>SCG</v>
          </cell>
        </row>
        <row r="6">
          <cell r="B6">
            <v>43009</v>
          </cell>
        </row>
        <row r="7">
          <cell r="B7">
            <v>43016</v>
          </cell>
        </row>
        <row r="8">
          <cell r="B8">
            <v>43023</v>
          </cell>
        </row>
        <row r="9">
          <cell r="B9">
            <v>43030</v>
          </cell>
        </row>
        <row r="10">
          <cell r="B10">
            <v>43037</v>
          </cell>
        </row>
        <row r="11">
          <cell r="B11">
            <v>43044</v>
          </cell>
        </row>
        <row r="12">
          <cell r="B12">
            <v>43051</v>
          </cell>
        </row>
        <row r="13">
          <cell r="B13">
            <v>43058</v>
          </cell>
        </row>
        <row r="14">
          <cell r="B14">
            <v>43065</v>
          </cell>
        </row>
        <row r="15">
          <cell r="B15">
            <v>43072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Four-Asset Portfolio"/>
      <sheetName val="CustomVariables"/>
    </sheetNames>
    <sheetDataSet>
      <sheetData sheetId="0" refreshError="1"/>
      <sheetData sheetId="1">
        <row r="5">
          <cell r="D5" t="str">
            <v>PLS</v>
          </cell>
          <cell r="E5" t="str">
            <v>S32</v>
          </cell>
        </row>
      </sheetData>
      <sheetData sheetId="2">
        <row r="5">
          <cell r="D5" t="str">
            <v>AMP</v>
          </cell>
          <cell r="E5" t="str">
            <v>BEN</v>
          </cell>
        </row>
      </sheetData>
      <sheetData sheetId="3">
        <row r="5">
          <cell r="D5" t="str">
            <v>LLC</v>
          </cell>
          <cell r="E5" t="str">
            <v>SCG</v>
          </cell>
        </row>
      </sheetData>
      <sheetData sheetId="4" refreshError="1"/>
      <sheetData sheetId="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3"/>
  <sheetViews>
    <sheetView zoomScaleNormal="50" workbookViewId="0">
      <selection activeCell="B16" sqref="B16"/>
    </sheetView>
  </sheetViews>
  <sheetFormatPr baseColWidth="10" defaultColWidth="8.83203125" defaultRowHeight="15" x14ac:dyDescent="0.2"/>
  <cols>
    <col min="1" max="1" width="10.5" bestFit="1" customWidth="1"/>
  </cols>
  <sheetData>
    <row r="1" spans="1:5" ht="16" x14ac:dyDescent="0.2">
      <c r="A1" s="1" t="s">
        <v>0</v>
      </c>
      <c r="B1" s="2" t="s">
        <v>80</v>
      </c>
      <c r="C1" s="1"/>
      <c r="D1" s="1"/>
      <c r="E1" s="3"/>
    </row>
    <row r="2" spans="1:5" ht="16" x14ac:dyDescent="0.2">
      <c r="A2" s="1" t="s">
        <v>58</v>
      </c>
      <c r="B2" s="4" t="s">
        <v>81</v>
      </c>
      <c r="C2" s="1"/>
      <c r="D2" s="1"/>
      <c r="E2" s="3"/>
    </row>
    <row r="3" spans="1:5" ht="16" x14ac:dyDescent="0.2">
      <c r="A3" s="48" t="s">
        <v>75</v>
      </c>
      <c r="B3" s="48" t="s">
        <v>78</v>
      </c>
    </row>
  </sheetData>
  <sheetProtection algorithmName="SHA-512" hashValue="rYzylGQO2vMjytGf/JzbDO5CDm2JC/MvIC0IgOOB7T+D2KJww5vk2grjav71hJ+j7LqdmOmZW0BWdpHHVQ1jEA==" saltValue="2O+BaL8aJFp0uukvqk3xK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G3:X192"/>
  <sheetViews>
    <sheetView tabSelected="1" topLeftCell="C73" zoomScale="125" zoomScaleNormal="125" workbookViewId="0">
      <selection activeCell="I190" sqref="I190"/>
    </sheetView>
  </sheetViews>
  <sheetFormatPr baseColWidth="10" defaultColWidth="8.83203125" defaultRowHeight="15" x14ac:dyDescent="0.2"/>
  <cols>
    <col min="7" max="7" width="10.33203125" customWidth="1"/>
    <col min="8" max="8" width="12.1640625" customWidth="1"/>
    <col min="9" max="10" width="19.83203125" bestFit="1" customWidth="1"/>
    <col min="11" max="11" width="11.33203125" bestFit="1" customWidth="1"/>
    <col min="15" max="15" width="10.5" bestFit="1" customWidth="1"/>
    <col min="16" max="16" width="5.5" customWidth="1"/>
    <col min="20" max="20" width="11.1640625" bestFit="1" customWidth="1"/>
    <col min="263" max="263" width="10.33203125" customWidth="1"/>
    <col min="265" max="266" width="9.5" bestFit="1" customWidth="1"/>
    <col min="272" max="272" width="5.5" customWidth="1"/>
    <col min="276" max="276" width="11.1640625" bestFit="1" customWidth="1"/>
    <col min="519" max="519" width="10.33203125" customWidth="1"/>
    <col min="521" max="522" width="9.5" bestFit="1" customWidth="1"/>
    <col min="528" max="528" width="5.5" customWidth="1"/>
    <col min="532" max="532" width="11.1640625" bestFit="1" customWidth="1"/>
    <col min="775" max="775" width="10.33203125" customWidth="1"/>
    <col min="777" max="778" width="9.5" bestFit="1" customWidth="1"/>
    <col min="784" max="784" width="5.5" customWidth="1"/>
    <col min="788" max="788" width="11.1640625" bestFit="1" customWidth="1"/>
    <col min="1031" max="1031" width="10.33203125" customWidth="1"/>
    <col min="1033" max="1034" width="9.5" bestFit="1" customWidth="1"/>
    <col min="1040" max="1040" width="5.5" customWidth="1"/>
    <col min="1044" max="1044" width="11.1640625" bestFit="1" customWidth="1"/>
    <col min="1287" max="1287" width="10.33203125" customWidth="1"/>
    <col min="1289" max="1290" width="9.5" bestFit="1" customWidth="1"/>
    <col min="1296" max="1296" width="5.5" customWidth="1"/>
    <col min="1300" max="1300" width="11.1640625" bestFit="1" customWidth="1"/>
    <col min="1543" max="1543" width="10.33203125" customWidth="1"/>
    <col min="1545" max="1546" width="9.5" bestFit="1" customWidth="1"/>
    <col min="1552" max="1552" width="5.5" customWidth="1"/>
    <col min="1556" max="1556" width="11.1640625" bestFit="1" customWidth="1"/>
    <col min="1799" max="1799" width="10.33203125" customWidth="1"/>
    <col min="1801" max="1802" width="9.5" bestFit="1" customWidth="1"/>
    <col min="1808" max="1808" width="5.5" customWidth="1"/>
    <col min="1812" max="1812" width="11.1640625" bestFit="1" customWidth="1"/>
    <col min="2055" max="2055" width="10.33203125" customWidth="1"/>
    <col min="2057" max="2058" width="9.5" bestFit="1" customWidth="1"/>
    <col min="2064" max="2064" width="5.5" customWidth="1"/>
    <col min="2068" max="2068" width="11.1640625" bestFit="1" customWidth="1"/>
    <col min="2311" max="2311" width="10.33203125" customWidth="1"/>
    <col min="2313" max="2314" width="9.5" bestFit="1" customWidth="1"/>
    <col min="2320" max="2320" width="5.5" customWidth="1"/>
    <col min="2324" max="2324" width="11.1640625" bestFit="1" customWidth="1"/>
    <col min="2567" max="2567" width="10.33203125" customWidth="1"/>
    <col min="2569" max="2570" width="9.5" bestFit="1" customWidth="1"/>
    <col min="2576" max="2576" width="5.5" customWidth="1"/>
    <col min="2580" max="2580" width="11.1640625" bestFit="1" customWidth="1"/>
    <col min="2823" max="2823" width="10.33203125" customWidth="1"/>
    <col min="2825" max="2826" width="9.5" bestFit="1" customWidth="1"/>
    <col min="2832" max="2832" width="5.5" customWidth="1"/>
    <col min="2836" max="2836" width="11.1640625" bestFit="1" customWidth="1"/>
    <col min="3079" max="3079" width="10.33203125" customWidth="1"/>
    <col min="3081" max="3082" width="9.5" bestFit="1" customWidth="1"/>
    <col min="3088" max="3088" width="5.5" customWidth="1"/>
    <col min="3092" max="3092" width="11.1640625" bestFit="1" customWidth="1"/>
    <col min="3335" max="3335" width="10.33203125" customWidth="1"/>
    <col min="3337" max="3338" width="9.5" bestFit="1" customWidth="1"/>
    <col min="3344" max="3344" width="5.5" customWidth="1"/>
    <col min="3348" max="3348" width="11.1640625" bestFit="1" customWidth="1"/>
    <col min="3591" max="3591" width="10.33203125" customWidth="1"/>
    <col min="3593" max="3594" width="9.5" bestFit="1" customWidth="1"/>
    <col min="3600" max="3600" width="5.5" customWidth="1"/>
    <col min="3604" max="3604" width="11.1640625" bestFit="1" customWidth="1"/>
    <col min="3847" max="3847" width="10.33203125" customWidth="1"/>
    <col min="3849" max="3850" width="9.5" bestFit="1" customWidth="1"/>
    <col min="3856" max="3856" width="5.5" customWidth="1"/>
    <col min="3860" max="3860" width="11.1640625" bestFit="1" customWidth="1"/>
    <col min="4103" max="4103" width="10.33203125" customWidth="1"/>
    <col min="4105" max="4106" width="9.5" bestFit="1" customWidth="1"/>
    <col min="4112" max="4112" width="5.5" customWidth="1"/>
    <col min="4116" max="4116" width="11.1640625" bestFit="1" customWidth="1"/>
    <col min="4359" max="4359" width="10.33203125" customWidth="1"/>
    <col min="4361" max="4362" width="9.5" bestFit="1" customWidth="1"/>
    <col min="4368" max="4368" width="5.5" customWidth="1"/>
    <col min="4372" max="4372" width="11.1640625" bestFit="1" customWidth="1"/>
    <col min="4615" max="4615" width="10.33203125" customWidth="1"/>
    <col min="4617" max="4618" width="9.5" bestFit="1" customWidth="1"/>
    <col min="4624" max="4624" width="5.5" customWidth="1"/>
    <col min="4628" max="4628" width="11.1640625" bestFit="1" customWidth="1"/>
    <col min="4871" max="4871" width="10.33203125" customWidth="1"/>
    <col min="4873" max="4874" width="9.5" bestFit="1" customWidth="1"/>
    <col min="4880" max="4880" width="5.5" customWidth="1"/>
    <col min="4884" max="4884" width="11.1640625" bestFit="1" customWidth="1"/>
    <col min="5127" max="5127" width="10.33203125" customWidth="1"/>
    <col min="5129" max="5130" width="9.5" bestFit="1" customWidth="1"/>
    <col min="5136" max="5136" width="5.5" customWidth="1"/>
    <col min="5140" max="5140" width="11.1640625" bestFit="1" customWidth="1"/>
    <col min="5383" max="5383" width="10.33203125" customWidth="1"/>
    <col min="5385" max="5386" width="9.5" bestFit="1" customWidth="1"/>
    <col min="5392" max="5392" width="5.5" customWidth="1"/>
    <col min="5396" max="5396" width="11.1640625" bestFit="1" customWidth="1"/>
    <col min="5639" max="5639" width="10.33203125" customWidth="1"/>
    <col min="5641" max="5642" width="9.5" bestFit="1" customWidth="1"/>
    <col min="5648" max="5648" width="5.5" customWidth="1"/>
    <col min="5652" max="5652" width="11.1640625" bestFit="1" customWidth="1"/>
    <col min="5895" max="5895" width="10.33203125" customWidth="1"/>
    <col min="5897" max="5898" width="9.5" bestFit="1" customWidth="1"/>
    <col min="5904" max="5904" width="5.5" customWidth="1"/>
    <col min="5908" max="5908" width="11.1640625" bestFit="1" customWidth="1"/>
    <col min="6151" max="6151" width="10.33203125" customWidth="1"/>
    <col min="6153" max="6154" width="9.5" bestFit="1" customWidth="1"/>
    <col min="6160" max="6160" width="5.5" customWidth="1"/>
    <col min="6164" max="6164" width="11.1640625" bestFit="1" customWidth="1"/>
    <col min="6407" max="6407" width="10.33203125" customWidth="1"/>
    <col min="6409" max="6410" width="9.5" bestFit="1" customWidth="1"/>
    <col min="6416" max="6416" width="5.5" customWidth="1"/>
    <col min="6420" max="6420" width="11.1640625" bestFit="1" customWidth="1"/>
    <col min="6663" max="6663" width="10.33203125" customWidth="1"/>
    <col min="6665" max="6666" width="9.5" bestFit="1" customWidth="1"/>
    <col min="6672" max="6672" width="5.5" customWidth="1"/>
    <col min="6676" max="6676" width="11.1640625" bestFit="1" customWidth="1"/>
    <col min="6919" max="6919" width="10.33203125" customWidth="1"/>
    <col min="6921" max="6922" width="9.5" bestFit="1" customWidth="1"/>
    <col min="6928" max="6928" width="5.5" customWidth="1"/>
    <col min="6932" max="6932" width="11.1640625" bestFit="1" customWidth="1"/>
    <col min="7175" max="7175" width="10.33203125" customWidth="1"/>
    <col min="7177" max="7178" width="9.5" bestFit="1" customWidth="1"/>
    <col min="7184" max="7184" width="5.5" customWidth="1"/>
    <col min="7188" max="7188" width="11.1640625" bestFit="1" customWidth="1"/>
    <col min="7431" max="7431" width="10.33203125" customWidth="1"/>
    <col min="7433" max="7434" width="9.5" bestFit="1" customWidth="1"/>
    <col min="7440" max="7440" width="5.5" customWidth="1"/>
    <col min="7444" max="7444" width="11.1640625" bestFit="1" customWidth="1"/>
    <col min="7687" max="7687" width="10.33203125" customWidth="1"/>
    <col min="7689" max="7690" width="9.5" bestFit="1" customWidth="1"/>
    <col min="7696" max="7696" width="5.5" customWidth="1"/>
    <col min="7700" max="7700" width="11.1640625" bestFit="1" customWidth="1"/>
    <col min="7943" max="7943" width="10.33203125" customWidth="1"/>
    <col min="7945" max="7946" width="9.5" bestFit="1" customWidth="1"/>
    <col min="7952" max="7952" width="5.5" customWidth="1"/>
    <col min="7956" max="7956" width="11.1640625" bestFit="1" customWidth="1"/>
    <col min="8199" max="8199" width="10.33203125" customWidth="1"/>
    <col min="8201" max="8202" width="9.5" bestFit="1" customWidth="1"/>
    <col min="8208" max="8208" width="5.5" customWidth="1"/>
    <col min="8212" max="8212" width="11.1640625" bestFit="1" customWidth="1"/>
    <col min="8455" max="8455" width="10.33203125" customWidth="1"/>
    <col min="8457" max="8458" width="9.5" bestFit="1" customWidth="1"/>
    <col min="8464" max="8464" width="5.5" customWidth="1"/>
    <col min="8468" max="8468" width="11.1640625" bestFit="1" customWidth="1"/>
    <col min="8711" max="8711" width="10.33203125" customWidth="1"/>
    <col min="8713" max="8714" width="9.5" bestFit="1" customWidth="1"/>
    <col min="8720" max="8720" width="5.5" customWidth="1"/>
    <col min="8724" max="8724" width="11.1640625" bestFit="1" customWidth="1"/>
    <col min="8967" max="8967" width="10.33203125" customWidth="1"/>
    <col min="8969" max="8970" width="9.5" bestFit="1" customWidth="1"/>
    <col min="8976" max="8976" width="5.5" customWidth="1"/>
    <col min="8980" max="8980" width="11.1640625" bestFit="1" customWidth="1"/>
    <col min="9223" max="9223" width="10.33203125" customWidth="1"/>
    <col min="9225" max="9226" width="9.5" bestFit="1" customWidth="1"/>
    <col min="9232" max="9232" width="5.5" customWidth="1"/>
    <col min="9236" max="9236" width="11.1640625" bestFit="1" customWidth="1"/>
    <col min="9479" max="9479" width="10.33203125" customWidth="1"/>
    <col min="9481" max="9482" width="9.5" bestFit="1" customWidth="1"/>
    <col min="9488" max="9488" width="5.5" customWidth="1"/>
    <col min="9492" max="9492" width="11.1640625" bestFit="1" customWidth="1"/>
    <col min="9735" max="9735" width="10.33203125" customWidth="1"/>
    <col min="9737" max="9738" width="9.5" bestFit="1" customWidth="1"/>
    <col min="9744" max="9744" width="5.5" customWidth="1"/>
    <col min="9748" max="9748" width="11.1640625" bestFit="1" customWidth="1"/>
    <col min="9991" max="9991" width="10.33203125" customWidth="1"/>
    <col min="9993" max="9994" width="9.5" bestFit="1" customWidth="1"/>
    <col min="10000" max="10000" width="5.5" customWidth="1"/>
    <col min="10004" max="10004" width="11.1640625" bestFit="1" customWidth="1"/>
    <col min="10247" max="10247" width="10.33203125" customWidth="1"/>
    <col min="10249" max="10250" width="9.5" bestFit="1" customWidth="1"/>
    <col min="10256" max="10256" width="5.5" customWidth="1"/>
    <col min="10260" max="10260" width="11.1640625" bestFit="1" customWidth="1"/>
    <col min="10503" max="10503" width="10.33203125" customWidth="1"/>
    <col min="10505" max="10506" width="9.5" bestFit="1" customWidth="1"/>
    <col min="10512" max="10512" width="5.5" customWidth="1"/>
    <col min="10516" max="10516" width="11.1640625" bestFit="1" customWidth="1"/>
    <col min="10759" max="10759" width="10.33203125" customWidth="1"/>
    <col min="10761" max="10762" width="9.5" bestFit="1" customWidth="1"/>
    <col min="10768" max="10768" width="5.5" customWidth="1"/>
    <col min="10772" max="10772" width="11.1640625" bestFit="1" customWidth="1"/>
    <col min="11015" max="11015" width="10.33203125" customWidth="1"/>
    <col min="11017" max="11018" width="9.5" bestFit="1" customWidth="1"/>
    <col min="11024" max="11024" width="5.5" customWidth="1"/>
    <col min="11028" max="11028" width="11.1640625" bestFit="1" customWidth="1"/>
    <col min="11271" max="11271" width="10.33203125" customWidth="1"/>
    <col min="11273" max="11274" width="9.5" bestFit="1" customWidth="1"/>
    <col min="11280" max="11280" width="5.5" customWidth="1"/>
    <col min="11284" max="11284" width="11.1640625" bestFit="1" customWidth="1"/>
    <col min="11527" max="11527" width="10.33203125" customWidth="1"/>
    <col min="11529" max="11530" width="9.5" bestFit="1" customWidth="1"/>
    <col min="11536" max="11536" width="5.5" customWidth="1"/>
    <col min="11540" max="11540" width="11.1640625" bestFit="1" customWidth="1"/>
    <col min="11783" max="11783" width="10.33203125" customWidth="1"/>
    <col min="11785" max="11786" width="9.5" bestFit="1" customWidth="1"/>
    <col min="11792" max="11792" width="5.5" customWidth="1"/>
    <col min="11796" max="11796" width="11.1640625" bestFit="1" customWidth="1"/>
    <col min="12039" max="12039" width="10.33203125" customWidth="1"/>
    <col min="12041" max="12042" width="9.5" bestFit="1" customWidth="1"/>
    <col min="12048" max="12048" width="5.5" customWidth="1"/>
    <col min="12052" max="12052" width="11.1640625" bestFit="1" customWidth="1"/>
    <col min="12295" max="12295" width="10.33203125" customWidth="1"/>
    <col min="12297" max="12298" width="9.5" bestFit="1" customWidth="1"/>
    <col min="12304" max="12304" width="5.5" customWidth="1"/>
    <col min="12308" max="12308" width="11.1640625" bestFit="1" customWidth="1"/>
    <col min="12551" max="12551" width="10.33203125" customWidth="1"/>
    <col min="12553" max="12554" width="9.5" bestFit="1" customWidth="1"/>
    <col min="12560" max="12560" width="5.5" customWidth="1"/>
    <col min="12564" max="12564" width="11.1640625" bestFit="1" customWidth="1"/>
    <col min="12807" max="12807" width="10.33203125" customWidth="1"/>
    <col min="12809" max="12810" width="9.5" bestFit="1" customWidth="1"/>
    <col min="12816" max="12816" width="5.5" customWidth="1"/>
    <col min="12820" max="12820" width="11.1640625" bestFit="1" customWidth="1"/>
    <col min="13063" max="13063" width="10.33203125" customWidth="1"/>
    <col min="13065" max="13066" width="9.5" bestFit="1" customWidth="1"/>
    <col min="13072" max="13072" width="5.5" customWidth="1"/>
    <col min="13076" max="13076" width="11.1640625" bestFit="1" customWidth="1"/>
    <col min="13319" max="13319" width="10.33203125" customWidth="1"/>
    <col min="13321" max="13322" width="9.5" bestFit="1" customWidth="1"/>
    <col min="13328" max="13328" width="5.5" customWidth="1"/>
    <col min="13332" max="13332" width="11.1640625" bestFit="1" customWidth="1"/>
    <col min="13575" max="13575" width="10.33203125" customWidth="1"/>
    <col min="13577" max="13578" width="9.5" bestFit="1" customWidth="1"/>
    <col min="13584" max="13584" width="5.5" customWidth="1"/>
    <col min="13588" max="13588" width="11.1640625" bestFit="1" customWidth="1"/>
    <col min="13831" max="13831" width="10.33203125" customWidth="1"/>
    <col min="13833" max="13834" width="9.5" bestFit="1" customWidth="1"/>
    <col min="13840" max="13840" width="5.5" customWidth="1"/>
    <col min="13844" max="13844" width="11.1640625" bestFit="1" customWidth="1"/>
    <col min="14087" max="14087" width="10.33203125" customWidth="1"/>
    <col min="14089" max="14090" width="9.5" bestFit="1" customWidth="1"/>
    <col min="14096" max="14096" width="5.5" customWidth="1"/>
    <col min="14100" max="14100" width="11.1640625" bestFit="1" customWidth="1"/>
    <col min="14343" max="14343" width="10.33203125" customWidth="1"/>
    <col min="14345" max="14346" width="9.5" bestFit="1" customWidth="1"/>
    <col min="14352" max="14352" width="5.5" customWidth="1"/>
    <col min="14356" max="14356" width="11.1640625" bestFit="1" customWidth="1"/>
    <col min="14599" max="14599" width="10.33203125" customWidth="1"/>
    <col min="14601" max="14602" width="9.5" bestFit="1" customWidth="1"/>
    <col min="14608" max="14608" width="5.5" customWidth="1"/>
    <col min="14612" max="14612" width="11.1640625" bestFit="1" customWidth="1"/>
    <col min="14855" max="14855" width="10.33203125" customWidth="1"/>
    <col min="14857" max="14858" width="9.5" bestFit="1" customWidth="1"/>
    <col min="14864" max="14864" width="5.5" customWidth="1"/>
    <col min="14868" max="14868" width="11.1640625" bestFit="1" customWidth="1"/>
    <col min="15111" max="15111" width="10.33203125" customWidth="1"/>
    <col min="15113" max="15114" width="9.5" bestFit="1" customWidth="1"/>
    <col min="15120" max="15120" width="5.5" customWidth="1"/>
    <col min="15124" max="15124" width="11.1640625" bestFit="1" customWidth="1"/>
    <col min="15367" max="15367" width="10.33203125" customWidth="1"/>
    <col min="15369" max="15370" width="9.5" bestFit="1" customWidth="1"/>
    <col min="15376" max="15376" width="5.5" customWidth="1"/>
    <col min="15380" max="15380" width="11.1640625" bestFit="1" customWidth="1"/>
    <col min="15623" max="15623" width="10.33203125" customWidth="1"/>
    <col min="15625" max="15626" width="9.5" bestFit="1" customWidth="1"/>
    <col min="15632" max="15632" width="5.5" customWidth="1"/>
    <col min="15636" max="15636" width="11.1640625" bestFit="1" customWidth="1"/>
    <col min="15879" max="15879" width="10.33203125" customWidth="1"/>
    <col min="15881" max="15882" width="9.5" bestFit="1" customWidth="1"/>
    <col min="15888" max="15888" width="5.5" customWidth="1"/>
    <col min="15892" max="15892" width="11.1640625" bestFit="1" customWidth="1"/>
    <col min="16135" max="16135" width="10.33203125" customWidth="1"/>
    <col min="16137" max="16138" width="9.5" bestFit="1" customWidth="1"/>
    <col min="16144" max="16144" width="5.5" customWidth="1"/>
    <col min="16148" max="16148" width="11.1640625" bestFit="1" customWidth="1"/>
  </cols>
  <sheetData>
    <row r="3" spans="8:15" ht="16" thickBot="1" x14ac:dyDescent="0.25"/>
    <row r="4" spans="8:15" ht="12.75" customHeight="1" x14ac:dyDescent="0.2">
      <c r="H4" s="5" t="s">
        <v>1</v>
      </c>
      <c r="I4" s="6"/>
      <c r="J4" s="6"/>
      <c r="K4" s="6"/>
      <c r="L4" s="6"/>
      <c r="M4" s="6"/>
      <c r="N4" s="6"/>
      <c r="O4" s="7"/>
    </row>
    <row r="5" spans="8:15" ht="12.75" customHeight="1" x14ac:dyDescent="0.2">
      <c r="H5" s="8"/>
      <c r="O5" s="9"/>
    </row>
    <row r="6" spans="8:15" x14ac:dyDescent="0.2">
      <c r="H6" s="10" t="s">
        <v>67</v>
      </c>
      <c r="I6" s="11"/>
      <c r="J6" s="11"/>
      <c r="K6" s="11"/>
      <c r="L6" s="11"/>
      <c r="M6" s="11"/>
      <c r="N6" s="11"/>
      <c r="O6" s="12"/>
    </row>
    <row r="7" spans="8:15" x14ac:dyDescent="0.2">
      <c r="H7" s="46"/>
      <c r="I7" s="13" t="s">
        <v>68</v>
      </c>
      <c r="J7" s="13" t="s">
        <v>69</v>
      </c>
      <c r="K7" s="13" t="s">
        <v>70</v>
      </c>
      <c r="L7" s="13" t="s">
        <v>71</v>
      </c>
      <c r="M7" s="13" t="s">
        <v>72</v>
      </c>
      <c r="N7" s="13" t="s">
        <v>73</v>
      </c>
      <c r="O7" s="47" t="s">
        <v>74</v>
      </c>
    </row>
    <row r="8" spans="8:15" x14ac:dyDescent="0.2">
      <c r="H8" s="46">
        <v>1974</v>
      </c>
      <c r="I8" s="14">
        <v>-0.35052160079107603</v>
      </c>
      <c r="J8" s="14">
        <v>-0.115427016808705</v>
      </c>
      <c r="K8" s="14">
        <v>-0.42461777897429298</v>
      </c>
      <c r="L8" s="14">
        <v>-0.21065474228275799</v>
      </c>
      <c r="M8" s="14">
        <v>-7.5849935190021395E-2</v>
      </c>
      <c r="N8" s="14">
        <v>0.23308415283953199</v>
      </c>
      <c r="O8" s="15">
        <v>-0.26468378035178464</v>
      </c>
    </row>
    <row r="9" spans="8:15" x14ac:dyDescent="0.2">
      <c r="H9" s="46">
        <v>1975</v>
      </c>
      <c r="I9" s="14">
        <v>0.70830675279858402</v>
      </c>
      <c r="J9" s="14">
        <v>0.24715342989608</v>
      </c>
      <c r="K9" s="14">
        <v>0.37192829004866401</v>
      </c>
      <c r="L9" s="14">
        <v>0.22267034887787199</v>
      </c>
      <c r="M9" s="14">
        <v>2.13455594959647E-2</v>
      </c>
      <c r="N9" s="14">
        <v>0.35688428711798598</v>
      </c>
      <c r="O9" s="15">
        <v>0.37203595378161958</v>
      </c>
    </row>
    <row r="10" spans="8:15" x14ac:dyDescent="0.2">
      <c r="H10" s="46">
        <v>1976</v>
      </c>
      <c r="I10" s="14">
        <v>0.73292518344993896</v>
      </c>
      <c r="J10" s="14">
        <v>0.36650775703605598</v>
      </c>
      <c r="K10" s="14">
        <v>0.25497345150849698</v>
      </c>
      <c r="L10" s="14">
        <v>0.58149498554192203</v>
      </c>
      <c r="M10" s="14">
        <v>0.12759455739410899</v>
      </c>
      <c r="N10" s="14">
        <v>7.8143049827309005E-2</v>
      </c>
      <c r="O10" s="15">
        <v>0.23841641418834936</v>
      </c>
    </row>
    <row r="11" spans="8:15" x14ac:dyDescent="0.2">
      <c r="H11" s="46">
        <v>1977</v>
      </c>
      <c r="I11" s="14">
        <v>-0.20337089651647</v>
      </c>
      <c r="J11" s="14">
        <v>-0.42709310158538499</v>
      </c>
      <c r="K11" s="14">
        <v>-4.90054952988105E-2</v>
      </c>
      <c r="L11" s="14">
        <v>-9.3759251730965804E-2</v>
      </c>
      <c r="M11" s="14">
        <v>7.1203617980391404E-2</v>
      </c>
      <c r="N11" s="14">
        <v>-0.27210435873039401</v>
      </c>
      <c r="O11" s="15">
        <v>-7.1840866980904194E-2</v>
      </c>
    </row>
    <row r="12" spans="8:15" x14ac:dyDescent="0.2">
      <c r="H12" s="46">
        <v>1978</v>
      </c>
      <c r="I12" s="14">
        <v>0.16631380830155101</v>
      </c>
      <c r="J12" s="14">
        <v>-4.5234656878249499E-2</v>
      </c>
      <c r="K12" s="14">
        <v>-5.7338276574772397E-2</v>
      </c>
      <c r="L12" s="14">
        <v>0.27508351398493902</v>
      </c>
      <c r="M12" s="14">
        <v>0.13721589992538899</v>
      </c>
      <c r="N12" s="14">
        <v>-0.13455248768257999</v>
      </c>
      <c r="O12" s="15">
        <v>6.5602594355265609E-2</v>
      </c>
    </row>
    <row r="13" spans="8:15" x14ac:dyDescent="0.2">
      <c r="H13" s="46">
        <v>1979</v>
      </c>
      <c r="I13" s="14">
        <v>-0.265850708027982</v>
      </c>
      <c r="J13" s="14">
        <v>1.57745190040217E-2</v>
      </c>
      <c r="K13" s="14">
        <v>8.9837625190824999E-2</v>
      </c>
      <c r="L13" s="14">
        <v>7.9274090365131694E-2</v>
      </c>
      <c r="M13" s="14">
        <v>2.1504396084479498E-2</v>
      </c>
      <c r="N13" s="14">
        <v>0.22535993860408499</v>
      </c>
      <c r="O13" s="15">
        <v>0.18439522193465963</v>
      </c>
    </row>
    <row r="14" spans="8:15" x14ac:dyDescent="0.2">
      <c r="H14" s="46">
        <v>1980</v>
      </c>
      <c r="I14" s="14">
        <v>1.2405940163250299E-2</v>
      </c>
      <c r="J14" s="14">
        <v>0.47511879700069498</v>
      </c>
      <c r="K14" s="14">
        <v>0.33496535111442199</v>
      </c>
      <c r="L14" s="14">
        <v>-0.189433827683615</v>
      </c>
      <c r="M14" s="14">
        <v>0.200216810041323</v>
      </c>
      <c r="N14" s="14">
        <v>0.365666561986078</v>
      </c>
      <c r="O14" s="15">
        <v>0.32419417567116282</v>
      </c>
    </row>
    <row r="15" spans="8:15" x14ac:dyDescent="0.2">
      <c r="H15" s="46">
        <v>1981</v>
      </c>
      <c r="I15" s="14">
        <v>-2.6361052853487998E-2</v>
      </c>
      <c r="J15" s="14">
        <v>-0.20422512647182001</v>
      </c>
      <c r="K15" s="14">
        <v>-2.75483166378085E-2</v>
      </c>
      <c r="L15" s="14">
        <v>-0.74267659573606604</v>
      </c>
      <c r="M15" s="14">
        <v>9.1325844915122203E-2</v>
      </c>
      <c r="N15" s="14">
        <v>4.7909671527621697E-2</v>
      </c>
      <c r="O15" s="15">
        <v>-4.9088144783707266E-2</v>
      </c>
    </row>
    <row r="16" spans="8:15" x14ac:dyDescent="0.2">
      <c r="H16" s="46">
        <v>1982</v>
      </c>
      <c r="I16" s="14">
        <v>1.0641987535145101</v>
      </c>
      <c r="J16" s="14">
        <v>-0.14927001874263299</v>
      </c>
      <c r="K16" s="14">
        <v>0.69682203601383796</v>
      </c>
      <c r="L16" s="14">
        <v>-0.26148626652978801</v>
      </c>
      <c r="M16" s="14">
        <v>0.22429342454962201</v>
      </c>
      <c r="N16" s="14">
        <v>4.55996855528756E-2</v>
      </c>
      <c r="O16" s="15">
        <v>0.21409427493808675</v>
      </c>
    </row>
    <row r="17" spans="7:15" x14ac:dyDescent="0.2">
      <c r="H17" s="46">
        <v>1983</v>
      </c>
      <c r="I17" s="14">
        <v>0.19421901141685899</v>
      </c>
      <c r="J17" s="14">
        <v>0.368040247274461</v>
      </c>
      <c r="K17" s="14">
        <v>0.31104887092647499</v>
      </c>
      <c r="L17" s="14">
        <v>1.86823240337963</v>
      </c>
      <c r="M17" s="14">
        <v>0.20660961824891599</v>
      </c>
      <c r="N17" s="14">
        <v>0.263965843652545</v>
      </c>
      <c r="O17" s="15">
        <v>0.22513813591118104</v>
      </c>
    </row>
    <row r="18" spans="7:15" x14ac:dyDescent="0.2">
      <c r="H18" s="16"/>
      <c r="O18" s="9"/>
    </row>
    <row r="19" spans="7:15" x14ac:dyDescent="0.2">
      <c r="H19" s="8" t="s">
        <v>2</v>
      </c>
      <c r="O19" s="9"/>
    </row>
    <row r="20" spans="7:15" x14ac:dyDescent="0.2">
      <c r="H20" s="16"/>
      <c r="I20" s="17" t="s">
        <v>68</v>
      </c>
      <c r="J20" s="17" t="s">
        <v>69</v>
      </c>
      <c r="K20" s="17" t="s">
        <v>70</v>
      </c>
      <c r="L20" s="17" t="s">
        <v>71</v>
      </c>
      <c r="M20" s="17" t="s">
        <v>72</v>
      </c>
      <c r="N20" s="17" t="s">
        <v>73</v>
      </c>
      <c r="O20" s="9"/>
    </row>
    <row r="21" spans="7:15" x14ac:dyDescent="0.2">
      <c r="H21" s="8" t="s">
        <v>68</v>
      </c>
      <c r="I21" s="14">
        <v>0.2059518419553216</v>
      </c>
      <c r="J21" s="14">
        <v>3.7520633261960722E-2</v>
      </c>
      <c r="K21" s="14">
        <v>0.10774943750669645</v>
      </c>
      <c r="L21" s="14">
        <v>4.926123533278301E-2</v>
      </c>
      <c r="M21" s="14">
        <v>2.083428119761669E-2</v>
      </c>
      <c r="N21" s="14">
        <v>5.857618637204993E-3</v>
      </c>
      <c r="O21" s="9"/>
    </row>
    <row r="22" spans="7:15" x14ac:dyDescent="0.2">
      <c r="H22" s="8" t="s">
        <v>69</v>
      </c>
      <c r="I22" s="14">
        <v>3.7520633261960722E-2</v>
      </c>
      <c r="J22" s="14">
        <v>7.9038787998847226E-2</v>
      </c>
      <c r="K22" s="14">
        <v>3.5480610064187387E-2</v>
      </c>
      <c r="L22" s="14">
        <v>0.1028379911693232</v>
      </c>
      <c r="M22" s="14">
        <v>8.9065721400814375E-3</v>
      </c>
      <c r="N22" s="14">
        <v>4.0579995786689985E-2</v>
      </c>
      <c r="O22" s="9"/>
    </row>
    <row r="23" spans="7:15" x14ac:dyDescent="0.2">
      <c r="H23" s="8" t="s">
        <v>70</v>
      </c>
      <c r="I23" s="14">
        <v>0.10774943750669645</v>
      </c>
      <c r="J23" s="14">
        <v>3.5480610064187387E-2</v>
      </c>
      <c r="K23" s="14">
        <v>8.6735559296062775E-2</v>
      </c>
      <c r="L23" s="14">
        <v>4.4290791705506108E-2</v>
      </c>
      <c r="M23" s="14">
        <v>1.9443413711549978E-2</v>
      </c>
      <c r="N23" s="14">
        <v>1.484080460065423E-2</v>
      </c>
      <c r="O23" s="9"/>
    </row>
    <row r="24" spans="7:15" x14ac:dyDescent="0.2">
      <c r="H24" s="8" t="s">
        <v>71</v>
      </c>
      <c r="I24" s="14">
        <v>4.926123533278301E-2</v>
      </c>
      <c r="J24" s="14">
        <v>0.1028379911693232</v>
      </c>
      <c r="K24" s="14">
        <v>4.4290791705506108E-2</v>
      </c>
      <c r="L24" s="14">
        <v>0.44352550998336582</v>
      </c>
      <c r="M24" s="14">
        <v>1.9252645349025686E-2</v>
      </c>
      <c r="N24" s="14">
        <v>2.7357480514421096E-2</v>
      </c>
      <c r="O24" s="9"/>
    </row>
    <row r="25" spans="7:15" x14ac:dyDescent="0.2">
      <c r="H25" s="8" t="s">
        <v>72</v>
      </c>
      <c r="I25" s="14">
        <v>2.083428119761669E-2</v>
      </c>
      <c r="J25" s="14">
        <v>8.9065721400814375E-3</v>
      </c>
      <c r="K25" s="14">
        <v>1.9443413711549978E-2</v>
      </c>
      <c r="L25" s="14">
        <v>1.9252645349025686E-2</v>
      </c>
      <c r="M25" s="14">
        <v>8.311529093637202E-3</v>
      </c>
      <c r="N25" s="14">
        <v>-1.4804804060333369E-3</v>
      </c>
      <c r="O25" s="9"/>
    </row>
    <row r="26" spans="7:15" x14ac:dyDescent="0.2">
      <c r="H26" s="8" t="s">
        <v>73</v>
      </c>
      <c r="I26" s="14">
        <v>5.857618637204993E-3</v>
      </c>
      <c r="J26" s="14">
        <v>4.0579995786689985E-2</v>
      </c>
      <c r="K26" s="14">
        <v>1.484080460065423E-2</v>
      </c>
      <c r="L26" s="14">
        <v>2.7357480514421096E-2</v>
      </c>
      <c r="M26" s="14">
        <v>-1.4804804060333369E-3</v>
      </c>
      <c r="N26" s="14">
        <v>3.9209844235377656E-2</v>
      </c>
      <c r="O26" s="9"/>
    </row>
    <row r="27" spans="7:15" ht="16" thickBot="1" x14ac:dyDescent="0.25">
      <c r="H27" s="18"/>
      <c r="I27" s="19"/>
      <c r="J27" s="19"/>
      <c r="K27" s="19"/>
      <c r="L27" s="19"/>
      <c r="M27" s="19"/>
      <c r="N27" s="19"/>
      <c r="O27" s="20"/>
    </row>
    <row r="30" spans="7:15" x14ac:dyDescent="0.2">
      <c r="G30" s="17" t="s">
        <v>3</v>
      </c>
      <c r="H30" t="s">
        <v>4</v>
      </c>
    </row>
    <row r="31" spans="7:15" x14ac:dyDescent="0.2">
      <c r="G31" s="17"/>
      <c r="H31" t="s">
        <v>66</v>
      </c>
    </row>
    <row r="32" spans="7:15" x14ac:dyDescent="0.2">
      <c r="G32" s="17"/>
      <c r="H32" t="s">
        <v>65</v>
      </c>
    </row>
    <row r="33" spans="7:24" x14ac:dyDescent="0.2">
      <c r="Q33" s="17"/>
    </row>
    <row r="34" spans="7:24" x14ac:dyDescent="0.2">
      <c r="I34" s="13" t="str">
        <f t="shared" ref="I34:O34" si="0">I7</f>
        <v xml:space="preserve">   AMR</v>
      </c>
      <c r="J34" s="13" t="str">
        <f t="shared" si="0"/>
        <v xml:space="preserve">    BS</v>
      </c>
      <c r="K34" s="13" t="str">
        <f t="shared" si="0"/>
        <v xml:space="preserve">    GE</v>
      </c>
      <c r="L34" s="13" t="str">
        <f t="shared" si="0"/>
        <v xml:space="preserve">    HR</v>
      </c>
      <c r="M34" s="13" t="str">
        <f t="shared" si="0"/>
        <v xml:space="preserve">    MO</v>
      </c>
      <c r="N34" s="13" t="str">
        <f t="shared" si="0"/>
        <v xml:space="preserve">    UK</v>
      </c>
      <c r="O34" s="13" t="str">
        <f t="shared" si="0"/>
        <v>SP500</v>
      </c>
      <c r="R34" s="13"/>
      <c r="S34" s="13"/>
      <c r="T34" s="13"/>
      <c r="U34" s="13"/>
      <c r="V34" s="13"/>
      <c r="W34" s="13"/>
      <c r="X34" s="13"/>
    </row>
    <row r="35" spans="7:24" x14ac:dyDescent="0.2">
      <c r="H35" s="21" t="s">
        <v>5</v>
      </c>
      <c r="I35" s="22">
        <f>AVERAGE(I8:I17)</f>
        <v>0.20322651914556772</v>
      </c>
      <c r="J35" s="22">
        <f t="shared" ref="J35:O35" si="1">AVERAGE(J8:J17)</f>
        <v>5.3134482972452116E-2</v>
      </c>
      <c r="K35" s="22">
        <f t="shared" si="1"/>
        <v>0.15010657573170366</v>
      </c>
      <c r="L35" s="22">
        <f t="shared" si="1"/>
        <v>0.15287446581863021</v>
      </c>
      <c r="M35" s="22">
        <f t="shared" si="1"/>
        <v>0.10254597934452954</v>
      </c>
      <c r="N35" s="22">
        <f t="shared" si="1"/>
        <v>0.12099563446950583</v>
      </c>
      <c r="O35" s="22">
        <f t="shared" si="1"/>
        <v>0.12382639786639286</v>
      </c>
      <c r="R35" s="23"/>
      <c r="S35" s="23"/>
      <c r="T35" s="23"/>
      <c r="U35" s="23"/>
      <c r="V35" s="23"/>
      <c r="W35" s="23"/>
      <c r="X35" s="23"/>
    </row>
    <row r="36" spans="7:24" x14ac:dyDescent="0.2">
      <c r="H36" s="21" t="s">
        <v>6</v>
      </c>
      <c r="I36" s="22">
        <f>COVAR(I8:I17,$O$8:$O$17)/_xlfn.VAR.P($O$8:$O$17)</f>
        <v>1.4820382161820089</v>
      </c>
      <c r="J36" s="22">
        <f t="shared" ref="J36:O36" si="2">COVAR(J8:J17,$O$8:$O$17)/_xlfn.VAR.P($O$8:$O$17)</f>
        <v>1.0839764010788004</v>
      </c>
      <c r="K36" s="22">
        <f t="shared" si="2"/>
        <v>1.3106730319685014</v>
      </c>
      <c r="L36" s="22">
        <f t="shared" si="2"/>
        <v>1.2991122455662534</v>
      </c>
      <c r="M36" s="22">
        <f t="shared" si="2"/>
        <v>0.26224558739025772</v>
      </c>
      <c r="N36" s="22">
        <f t="shared" si="2"/>
        <v>0.49390283130567381</v>
      </c>
      <c r="O36" s="22">
        <f t="shared" si="2"/>
        <v>1</v>
      </c>
      <c r="R36" s="23"/>
      <c r="S36" s="23"/>
      <c r="T36" s="23"/>
      <c r="U36" s="23"/>
      <c r="V36" s="23"/>
      <c r="W36" s="23"/>
      <c r="X36" s="23"/>
    </row>
    <row r="37" spans="7:24" x14ac:dyDescent="0.2">
      <c r="H37" s="21" t="s">
        <v>7</v>
      </c>
      <c r="I37" s="22">
        <f>SLOPE(I8:I17,$O$8:$O$17)</f>
        <v>1.4820382161820087</v>
      </c>
      <c r="J37" s="22">
        <f t="shared" ref="J37:O37" si="3">SLOPE(J8:J17,$O$8:$O$17)</f>
        <v>1.0839764010788004</v>
      </c>
      <c r="K37" s="22">
        <f t="shared" si="3"/>
        <v>1.3106730319685012</v>
      </c>
      <c r="L37" s="22">
        <f t="shared" si="3"/>
        <v>1.2991122455662532</v>
      </c>
      <c r="M37" s="22">
        <f t="shared" si="3"/>
        <v>0.26224558739025772</v>
      </c>
      <c r="N37" s="22">
        <f t="shared" si="3"/>
        <v>0.49390283130567375</v>
      </c>
      <c r="O37" s="22">
        <f t="shared" si="3"/>
        <v>1</v>
      </c>
      <c r="R37" s="23"/>
      <c r="S37" s="23"/>
      <c r="T37" s="23"/>
      <c r="U37" s="23"/>
      <c r="V37" s="23"/>
      <c r="W37" s="23"/>
      <c r="X37" s="23"/>
    </row>
    <row r="39" spans="7:24" x14ac:dyDescent="0.2">
      <c r="G39" s="17" t="s">
        <v>8</v>
      </c>
      <c r="H39" t="s">
        <v>9</v>
      </c>
    </row>
    <row r="40" spans="7:24" x14ac:dyDescent="0.2">
      <c r="H40" t="s">
        <v>10</v>
      </c>
    </row>
    <row r="41" spans="7:24" x14ac:dyDescent="0.2">
      <c r="H41" t="s">
        <v>11</v>
      </c>
    </row>
    <row r="42" spans="7:24" x14ac:dyDescent="0.2">
      <c r="Q42" s="17"/>
    </row>
    <row r="43" spans="7:24" x14ac:dyDescent="0.2">
      <c r="G43" t="s">
        <v>12</v>
      </c>
      <c r="H43" t="s">
        <v>13</v>
      </c>
      <c r="I43" s="22">
        <f>INTERCEPT(I35:N35,I36:N36)</f>
        <v>7.6589887680281937E-2</v>
      </c>
      <c r="R43" s="23"/>
    </row>
    <row r="44" spans="7:24" x14ac:dyDescent="0.2">
      <c r="H44" t="s">
        <v>14</v>
      </c>
      <c r="I44" s="22">
        <f>SLOPE(I35:N35,I36:N36)</f>
        <v>5.4508959672708204E-2</v>
      </c>
      <c r="R44" s="23"/>
    </row>
    <row r="45" spans="7:24" x14ac:dyDescent="0.2">
      <c r="H45" t="s">
        <v>15</v>
      </c>
      <c r="I45" s="22">
        <f>RSQ(I35:N35,I36:N36)</f>
        <v>0.27931691565287664</v>
      </c>
      <c r="R45" s="23"/>
    </row>
    <row r="47" spans="7:24" x14ac:dyDescent="0.2">
      <c r="G47" t="s">
        <v>16</v>
      </c>
      <c r="H47" t="s">
        <v>17</v>
      </c>
    </row>
    <row r="48" spans="7:24" x14ac:dyDescent="0.2">
      <c r="H48" t="s">
        <v>18</v>
      </c>
    </row>
    <row r="49" spans="7:20" x14ac:dyDescent="0.2">
      <c r="I49" s="24" t="s">
        <v>5</v>
      </c>
      <c r="J49" s="24" t="s">
        <v>19</v>
      </c>
      <c r="Q49" s="17"/>
      <c r="R49" s="24"/>
      <c r="S49" s="24"/>
    </row>
    <row r="50" spans="7:20" x14ac:dyDescent="0.2">
      <c r="H50" s="13" t="s">
        <v>68</v>
      </c>
      <c r="I50" s="22">
        <f t="array" ref="I50:J55">TRANSPOSE(I35:N36)</f>
        <v>0.20322651914556772</v>
      </c>
      <c r="J50" s="22">
        <v>1.4820382161820089</v>
      </c>
      <c r="Q50" s="13"/>
      <c r="R50" s="23"/>
      <c r="S50" s="23"/>
    </row>
    <row r="51" spans="7:20" x14ac:dyDescent="0.2">
      <c r="H51" s="13" t="s">
        <v>69</v>
      </c>
      <c r="I51" s="22">
        <v>5.3134482972452116E-2</v>
      </c>
      <c r="J51" s="22">
        <v>1.0839764010788004</v>
      </c>
      <c r="Q51" s="13"/>
      <c r="R51" s="23"/>
      <c r="S51" s="23"/>
    </row>
    <row r="52" spans="7:20" x14ac:dyDescent="0.2">
      <c r="H52" s="13" t="s">
        <v>70</v>
      </c>
      <c r="I52" s="22">
        <v>0.15010657573170366</v>
      </c>
      <c r="J52" s="22">
        <v>1.3106730319685014</v>
      </c>
      <c r="Q52" s="13"/>
      <c r="R52" s="23"/>
      <c r="S52" s="23"/>
    </row>
    <row r="53" spans="7:20" x14ac:dyDescent="0.2">
      <c r="H53" s="13" t="s">
        <v>71</v>
      </c>
      <c r="I53" s="22">
        <v>0.15287446581863021</v>
      </c>
      <c r="J53" s="22">
        <v>1.2991122455662534</v>
      </c>
      <c r="Q53" s="13"/>
      <c r="R53" s="23"/>
      <c r="S53" s="23"/>
    </row>
    <row r="54" spans="7:20" x14ac:dyDescent="0.2">
      <c r="H54" s="13" t="s">
        <v>72</v>
      </c>
      <c r="I54" s="22">
        <v>0.10254597934452954</v>
      </c>
      <c r="J54" s="22">
        <v>0.26224558739025772</v>
      </c>
      <c r="Q54" s="13"/>
      <c r="R54" s="23"/>
      <c r="S54" s="23"/>
    </row>
    <row r="55" spans="7:20" x14ac:dyDescent="0.2">
      <c r="H55" s="13" t="s">
        <v>73</v>
      </c>
      <c r="I55" s="22">
        <v>0.12099563446950583</v>
      </c>
      <c r="J55" s="22">
        <v>0.49390283130567381</v>
      </c>
      <c r="Q55" s="13"/>
      <c r="R55" s="23"/>
      <c r="S55" s="23"/>
    </row>
    <row r="57" spans="7:20" x14ac:dyDescent="0.2">
      <c r="G57" s="17" t="s">
        <v>20</v>
      </c>
      <c r="H57" t="s">
        <v>76</v>
      </c>
    </row>
    <row r="58" spans="7:20" x14ac:dyDescent="0.2">
      <c r="I58" t="s">
        <v>59</v>
      </c>
      <c r="Q58" s="13"/>
    </row>
    <row r="59" spans="7:20" x14ac:dyDescent="0.2">
      <c r="H59" t="s">
        <v>5</v>
      </c>
      <c r="I59" s="22">
        <f>AVERAGE(O8:O17)</f>
        <v>0.12382639786639286</v>
      </c>
      <c r="R59" s="23"/>
    </row>
    <row r="60" spans="7:20" x14ac:dyDescent="0.2">
      <c r="H60" t="s">
        <v>21</v>
      </c>
      <c r="I60" s="22">
        <f>_xlfn.STDEV.P(O8:O17)</f>
        <v>0.18960019242700119</v>
      </c>
    </row>
    <row r="62" spans="7:20" x14ac:dyDescent="0.2">
      <c r="G62" s="17" t="s">
        <v>22</v>
      </c>
      <c r="H62" s="25" t="s">
        <v>23</v>
      </c>
    </row>
    <row r="64" spans="7:20" x14ac:dyDescent="0.2">
      <c r="G64" t="s">
        <v>24</v>
      </c>
      <c r="H64" s="26" t="s">
        <v>25</v>
      </c>
      <c r="I64" s="27">
        <v>0</v>
      </c>
      <c r="J64" s="28"/>
      <c r="K64" s="26" t="s">
        <v>25</v>
      </c>
      <c r="L64">
        <v>0.1</v>
      </c>
      <c r="Q64" s="29"/>
      <c r="R64" s="27"/>
      <c r="S64" s="28"/>
      <c r="T64" s="26"/>
    </row>
    <row r="65" spans="7:21" x14ac:dyDescent="0.2">
      <c r="J65" s="28"/>
      <c r="K65" s="28"/>
      <c r="Q65" s="26"/>
      <c r="R65" s="27"/>
      <c r="S65" s="28"/>
      <c r="T65" s="26"/>
    </row>
    <row r="66" spans="7:21" ht="32" x14ac:dyDescent="0.2">
      <c r="H66" s="30" t="s">
        <v>26</v>
      </c>
      <c r="I66" s="28"/>
      <c r="J66" s="28"/>
      <c r="K66" s="30" t="s">
        <v>26</v>
      </c>
      <c r="Q66" s="30"/>
      <c r="R66" s="28"/>
      <c r="S66" s="28"/>
      <c r="T66" s="30"/>
    </row>
    <row r="67" spans="7:21" x14ac:dyDescent="0.2">
      <c r="H67" s="22">
        <f>I50</f>
        <v>0.20322651914556772</v>
      </c>
      <c r="K67" s="22">
        <f>I50-$L$64</f>
        <v>0.10322651914556771</v>
      </c>
      <c r="Q67" s="23"/>
      <c r="T67" s="23"/>
    </row>
    <row r="68" spans="7:21" x14ac:dyDescent="0.2">
      <c r="H68" s="22">
        <f>I51</f>
        <v>5.3134482972452116E-2</v>
      </c>
      <c r="K68" s="22">
        <f t="shared" ref="K68:K72" si="4">I51-$L$64</f>
        <v>-4.686551702754789E-2</v>
      </c>
      <c r="Q68" s="23"/>
      <c r="T68" s="23"/>
    </row>
    <row r="69" spans="7:21" x14ac:dyDescent="0.2">
      <c r="H69" s="22">
        <f t="shared" ref="H69:H72" si="5">I52</f>
        <v>0.15010657573170366</v>
      </c>
      <c r="K69" s="22">
        <f t="shared" si="4"/>
        <v>5.0106575731703656E-2</v>
      </c>
      <c r="Q69" s="23"/>
      <c r="T69" s="23"/>
    </row>
    <row r="70" spans="7:21" x14ac:dyDescent="0.2">
      <c r="H70" s="22">
        <f t="shared" si="5"/>
        <v>0.15287446581863021</v>
      </c>
      <c r="K70" s="22">
        <f t="shared" si="4"/>
        <v>5.2874465818630201E-2</v>
      </c>
      <c r="Q70" s="23"/>
      <c r="T70" s="23"/>
    </row>
    <row r="71" spans="7:21" x14ac:dyDescent="0.2">
      <c r="H71" s="22">
        <f t="shared" si="5"/>
        <v>0.10254597934452954</v>
      </c>
      <c r="K71" s="22">
        <f t="shared" si="4"/>
        <v>2.5459793445295337E-3</v>
      </c>
      <c r="Q71" s="23"/>
      <c r="T71" s="23"/>
    </row>
    <row r="72" spans="7:21" x14ac:dyDescent="0.2">
      <c r="H72" s="22">
        <f t="shared" si="5"/>
        <v>0.12099563446950583</v>
      </c>
      <c r="K72" s="22">
        <f t="shared" si="4"/>
        <v>2.0995634469505822E-2</v>
      </c>
      <c r="Q72" s="23"/>
      <c r="T72" s="23"/>
    </row>
    <row r="74" spans="7:21" x14ac:dyDescent="0.2">
      <c r="G74" t="s">
        <v>27</v>
      </c>
      <c r="H74" t="s">
        <v>28</v>
      </c>
    </row>
    <row r="75" spans="7:21" x14ac:dyDescent="0.2">
      <c r="H75" s="31" t="s">
        <v>29</v>
      </c>
      <c r="I75" s="31" t="s">
        <v>30</v>
      </c>
      <c r="K75" s="31" t="s">
        <v>29</v>
      </c>
      <c r="L75" s="31" t="s">
        <v>31</v>
      </c>
      <c r="Q75" s="31"/>
      <c r="R75" s="31"/>
      <c r="T75" s="31"/>
      <c r="U75" s="31"/>
    </row>
    <row r="76" spans="7:21" x14ac:dyDescent="0.2">
      <c r="H76" s="32">
        <f t="array" ref="H76:H81">MMULT(MINVERSE(I21:N26),H67:H72)</f>
        <v>5.9968858979901807</v>
      </c>
      <c r="I76" s="32">
        <f>H76/SUM($H$76:$H$81)</f>
        <v>0.10651662135193139</v>
      </c>
      <c r="J76" s="28"/>
      <c r="K76" s="32">
        <f t="array" ref="K76:K81">MMULT(MINVERSE(I21:N26),K67:K72)</f>
        <v>1.5260766561299233</v>
      </c>
      <c r="L76" s="32">
        <f>K76/SUM($K$76:$K$81)</f>
        <v>0.20362506190742141</v>
      </c>
      <c r="Q76" s="23"/>
      <c r="R76" s="23"/>
      <c r="T76" s="23"/>
      <c r="U76" s="23"/>
    </row>
    <row r="77" spans="7:21" x14ac:dyDescent="0.2">
      <c r="H77" s="32">
        <v>-15.445485898414061</v>
      </c>
      <c r="I77" s="32">
        <f t="shared" ref="I77:I81" si="6">H77/SUM($H$76:$H$81)</f>
        <v>-0.27434255062103902</v>
      </c>
      <c r="J77" s="28"/>
      <c r="K77" s="32">
        <v>-5.25700035260214</v>
      </c>
      <c r="L77" s="32">
        <f t="shared" ref="L77:L81" si="7">K77/SUM($K$76:$K$81)</f>
        <v>-0.70144380883237434</v>
      </c>
      <c r="Q77" s="23"/>
      <c r="R77" s="23"/>
      <c r="T77" s="23"/>
      <c r="U77" s="23"/>
    </row>
    <row r="78" spans="7:21" x14ac:dyDescent="0.2">
      <c r="H78" s="32">
        <v>-16.786853911356587</v>
      </c>
      <c r="I78" s="32">
        <f t="shared" si="6"/>
        <v>-0.29816791451133356</v>
      </c>
      <c r="J78" s="28"/>
      <c r="K78" s="32">
        <v>-2.0059403684041142</v>
      </c>
      <c r="L78" s="32">
        <f t="shared" si="7"/>
        <v>-0.26765348258109323</v>
      </c>
      <c r="Q78" s="23"/>
      <c r="R78" s="23"/>
      <c r="T78" s="23"/>
      <c r="U78" s="23"/>
    </row>
    <row r="79" spans="7:21" x14ac:dyDescent="0.2">
      <c r="H79" s="32">
        <v>0.91848378665426988</v>
      </c>
      <c r="I79" s="32">
        <f t="shared" si="6"/>
        <v>1.6314098914860027E-2</v>
      </c>
      <c r="J79" s="28"/>
      <c r="K79" s="32">
        <v>0.71129643030933298</v>
      </c>
      <c r="L79" s="32">
        <f t="shared" si="7"/>
        <v>9.4908587373041475E-2</v>
      </c>
      <c r="Q79" s="23"/>
      <c r="R79" s="23"/>
      <c r="T79" s="23"/>
      <c r="U79" s="23"/>
    </row>
    <row r="80" spans="7:21" x14ac:dyDescent="0.2">
      <c r="H80" s="32">
        <v>55.628452590670548</v>
      </c>
      <c r="I80" s="32">
        <f t="shared" si="6"/>
        <v>0.98807196298001398</v>
      </c>
      <c r="J80" s="28"/>
      <c r="K80" s="32">
        <v>6.2721436448318038</v>
      </c>
      <c r="L80" s="32">
        <f t="shared" si="7"/>
        <v>0.83689481314127623</v>
      </c>
      <c r="Q80" s="23"/>
      <c r="R80" s="23"/>
      <c r="T80" s="23"/>
      <c r="U80" s="23"/>
    </row>
    <row r="81" spans="7:21" x14ac:dyDescent="0.2">
      <c r="H81" s="32">
        <v>25.988518622327589</v>
      </c>
      <c r="I81" s="32">
        <f t="shared" si="6"/>
        <v>0.46160778188556723</v>
      </c>
      <c r="J81" s="28"/>
      <c r="K81" s="32">
        <v>6.247966369905261</v>
      </c>
      <c r="L81" s="32">
        <f t="shared" si="7"/>
        <v>0.83366882899172845</v>
      </c>
      <c r="Q81" s="23"/>
      <c r="R81" s="23"/>
      <c r="T81" s="23"/>
      <c r="U81" s="23"/>
    </row>
    <row r="83" spans="7:21" x14ac:dyDescent="0.2">
      <c r="G83" t="s">
        <v>32</v>
      </c>
      <c r="H83" s="26"/>
      <c r="I83" s="33" t="s">
        <v>30</v>
      </c>
      <c r="J83" s="33" t="s">
        <v>31</v>
      </c>
      <c r="R83" s="33"/>
      <c r="S83" s="33"/>
    </row>
    <row r="84" spans="7:21" x14ac:dyDescent="0.2">
      <c r="H84" s="26" t="s">
        <v>33</v>
      </c>
      <c r="I84" s="32">
        <f>SUMPRODUCT(I76:I81,I50:I55)</f>
        <v>0.12198233067243142</v>
      </c>
      <c r="J84" s="32">
        <f>SUMPRODUCT(L76:L81,I50:I55)</f>
        <v>0.16513419739228502</v>
      </c>
      <c r="Q84" s="26"/>
      <c r="R84" s="23"/>
      <c r="S84" s="23"/>
    </row>
    <row r="85" spans="7:21" x14ac:dyDescent="0.2">
      <c r="H85" s="26" t="s">
        <v>34</v>
      </c>
      <c r="I85" s="32" cm="1">
        <f t="array" ref="I85">MMULT(TRANSPOSE(I76:I81),MMULT(I21:N26,I76:I81))</f>
        <v>2.1666488155487563E-3</v>
      </c>
      <c r="J85" s="32" cm="1">
        <f t="array" ref="J85">MMULT(TRANSPOSE(L76:L81),MMULT(I21:N26,L76:L81))</f>
        <v>8.6908838576488234E-3</v>
      </c>
      <c r="Q85" s="26"/>
      <c r="R85" s="23"/>
      <c r="S85" s="23"/>
    </row>
    <row r="86" spans="7:21" x14ac:dyDescent="0.2">
      <c r="H86" s="26" t="s">
        <v>35</v>
      </c>
      <c r="I86" s="32">
        <f>SQRT(I85)</f>
        <v>4.654727506040237E-2</v>
      </c>
      <c r="J86" s="32">
        <f>SQRT(J85)</f>
        <v>9.3224910070478603E-2</v>
      </c>
      <c r="Q86" s="26"/>
      <c r="R86" s="23"/>
      <c r="S86" s="23"/>
    </row>
    <row r="87" spans="7:21" x14ac:dyDescent="0.2">
      <c r="H87" s="26"/>
      <c r="I87" s="28"/>
      <c r="J87" s="28"/>
      <c r="Q87" s="26"/>
    </row>
    <row r="88" spans="7:21" x14ac:dyDescent="0.2">
      <c r="H88" s="26" t="s">
        <v>36</v>
      </c>
      <c r="I88" s="45" cm="1">
        <f t="array" ref="I88">MMULT(TRANSPOSE(I76:I81),MMULT(I21:N26,L76:L81))</f>
        <v>2.9331117975388088E-3</v>
      </c>
      <c r="J88" s="28"/>
      <c r="Q88" s="26"/>
      <c r="R88" s="23"/>
    </row>
    <row r="90" spans="7:21" x14ac:dyDescent="0.2">
      <c r="G90" t="s">
        <v>37</v>
      </c>
      <c r="H90" t="s">
        <v>38</v>
      </c>
    </row>
    <row r="91" spans="7:21" ht="32" x14ac:dyDescent="0.2">
      <c r="H91" s="30" t="s">
        <v>39</v>
      </c>
      <c r="I91" s="28">
        <f>PropX</f>
        <v>-1.4531654783830046</v>
      </c>
      <c r="Q91" s="30"/>
      <c r="R91" s="23"/>
    </row>
    <row r="92" spans="7:21" ht="32" x14ac:dyDescent="0.2">
      <c r="H92" s="30" t="s">
        <v>40</v>
      </c>
      <c r="I92" s="28">
        <f>1-PropX</f>
        <v>2.4531654783830046</v>
      </c>
      <c r="Q92" s="30"/>
      <c r="R92" s="23"/>
    </row>
    <row r="93" spans="7:21" x14ac:dyDescent="0.2">
      <c r="H93" s="34" t="s">
        <v>41</v>
      </c>
      <c r="I93" s="32" cm="1">
        <f t="array" ref="I93">SUMPRODUCT(I91:I92,TRANSPOSE(I84:J84))</f>
        <v>0.22784100043736072</v>
      </c>
      <c r="Q93" s="34"/>
      <c r="R93" s="23"/>
    </row>
    <row r="94" spans="7:21" x14ac:dyDescent="0.2">
      <c r="H94" s="35" t="s">
        <v>42</v>
      </c>
      <c r="I94" s="32">
        <f>SQRT(I91^2*I85+I92^2*J85+2*I91*I92*I88)</f>
        <v>0.18964433037596454</v>
      </c>
      <c r="Q94" s="35"/>
      <c r="R94" s="23"/>
    </row>
    <row r="96" spans="7:21" x14ac:dyDescent="0.2">
      <c r="G96" t="s">
        <v>43</v>
      </c>
      <c r="H96" t="s">
        <v>77</v>
      </c>
    </row>
    <row r="97" spans="7:23" ht="32" x14ac:dyDescent="0.2">
      <c r="J97" s="30" t="s">
        <v>39</v>
      </c>
      <c r="K97" s="30" t="s">
        <v>44</v>
      </c>
      <c r="L97" s="36" t="s">
        <v>5</v>
      </c>
      <c r="M97" s="30" t="s">
        <v>60</v>
      </c>
      <c r="T97" s="30"/>
      <c r="U97" s="30"/>
      <c r="V97" s="36"/>
      <c r="W97" s="30"/>
    </row>
    <row r="98" spans="7:23" x14ac:dyDescent="0.2">
      <c r="J98" s="37"/>
      <c r="K98" s="23">
        <f>Port_SD</f>
        <v>0.18964433037596454</v>
      </c>
      <c r="L98" s="23">
        <f>Port_Mean</f>
        <v>0.22784100043736072</v>
      </c>
      <c r="M98" s="23"/>
      <c r="T98" s="37"/>
      <c r="U98" s="23"/>
      <c r="V98" s="23"/>
    </row>
    <row r="99" spans="7:23" x14ac:dyDescent="0.2">
      <c r="G99" t="s">
        <v>45</v>
      </c>
      <c r="H99" s="38">
        <v>0.27341726080849765</v>
      </c>
      <c r="J99" s="23">
        <v>-2</v>
      </c>
      <c r="K99" s="37">
        <f t="dataTable" ref="K99:L118" dt2D="0" dtr="0" r1="I91"/>
        <v>0.17940702668277778</v>
      </c>
      <c r="L99" s="37">
        <v>0.16113685099837555</v>
      </c>
      <c r="M99" s="23"/>
      <c r="T99" s="23"/>
      <c r="U99" s="37"/>
      <c r="V99" s="37"/>
    </row>
    <row r="100" spans="7:23" x14ac:dyDescent="0.2">
      <c r="J100" s="23">
        <f t="shared" ref="J100:J118" si="8">J99+Increment</f>
        <v>-1.7265827391915023</v>
      </c>
      <c r="K100" s="37">
        <v>0.18415741763822624</v>
      </c>
      <c r="L100" s="37">
        <v>0.19448892571786813</v>
      </c>
      <c r="M100" s="23"/>
      <c r="T100" s="23"/>
      <c r="U100" s="37"/>
      <c r="V100" s="37"/>
    </row>
    <row r="101" spans="7:23" x14ac:dyDescent="0.2">
      <c r="J101" s="39">
        <f t="shared" si="8"/>
        <v>-1.4531654783830046</v>
      </c>
      <c r="K101" s="40">
        <v>0.18964433037596454</v>
      </c>
      <c r="L101" s="40">
        <v>0.22784100043736072</v>
      </c>
      <c r="M101" s="39">
        <f>AllOrds_Mean</f>
        <v>0.12382639786639286</v>
      </c>
      <c r="T101" s="23"/>
      <c r="U101" s="37"/>
      <c r="V101" s="37"/>
      <c r="W101" s="23"/>
    </row>
    <row r="102" spans="7:23" x14ac:dyDescent="0.2">
      <c r="J102" s="23">
        <f t="shared" si="8"/>
        <v>-1.1797482175745069</v>
      </c>
      <c r="K102" s="37">
        <v>0.19580585777973716</v>
      </c>
      <c r="L102" s="37">
        <v>0.2611930751568533</v>
      </c>
      <c r="M102" s="23"/>
      <c r="T102" s="23"/>
      <c r="U102" s="37"/>
      <c r="V102" s="37"/>
    </row>
    <row r="103" spans="7:23" x14ac:dyDescent="0.2">
      <c r="J103" s="23">
        <f t="shared" si="8"/>
        <v>-0.90633095676600917</v>
      </c>
      <c r="K103" s="37">
        <v>0.20258045355490772</v>
      </c>
      <c r="L103" s="37">
        <v>0.29454514987634589</v>
      </c>
      <c r="M103" s="23"/>
      <c r="T103" s="23"/>
      <c r="U103" s="37"/>
      <c r="V103" s="37"/>
    </row>
    <row r="104" spans="7:23" x14ac:dyDescent="0.2">
      <c r="J104" s="23">
        <f t="shared" si="8"/>
        <v>-0.63291369595751146</v>
      </c>
      <c r="K104" s="37">
        <v>0.20990876758417773</v>
      </c>
      <c r="L104" s="37">
        <v>0.32789722459583848</v>
      </c>
      <c r="M104" s="23"/>
      <c r="T104" s="23"/>
      <c r="U104" s="37"/>
      <c r="V104" s="37"/>
    </row>
    <row r="105" spans="7:23" x14ac:dyDescent="0.2">
      <c r="J105" s="23">
        <f t="shared" si="8"/>
        <v>-0.3594964351490138</v>
      </c>
      <c r="K105" s="37">
        <v>0.2177348974772931</v>
      </c>
      <c r="L105" s="37">
        <v>0.36124929931533106</v>
      </c>
      <c r="M105" s="23"/>
      <c r="T105" s="23"/>
      <c r="U105" s="37"/>
      <c r="V105" s="37"/>
    </row>
    <row r="106" spans="7:23" x14ac:dyDescent="0.2">
      <c r="J106" s="23">
        <f t="shared" si="8"/>
        <v>-8.6079174340516151E-2</v>
      </c>
      <c r="K106" s="37">
        <v>0.22600713434475714</v>
      </c>
      <c r="L106" s="37">
        <v>0.39460137403482365</v>
      </c>
      <c r="M106" s="23"/>
      <c r="T106" s="23"/>
      <c r="U106" s="37"/>
      <c r="V106" s="37"/>
    </row>
    <row r="107" spans="7:23" x14ac:dyDescent="0.2">
      <c r="J107" s="23">
        <f t="shared" si="8"/>
        <v>0.1873380864679815</v>
      </c>
      <c r="K107" s="37">
        <v>0.23467830810399509</v>
      </c>
      <c r="L107" s="37">
        <v>0.42795344875431623</v>
      </c>
      <c r="M107" s="23"/>
      <c r="T107" s="23"/>
      <c r="U107" s="37"/>
      <c r="V107" s="37"/>
    </row>
    <row r="108" spans="7:23" x14ac:dyDescent="0.2">
      <c r="J108" s="23">
        <f t="shared" si="8"/>
        <v>0.46075534727647915</v>
      </c>
      <c r="K108" s="37">
        <v>0.24370583936155688</v>
      </c>
      <c r="L108" s="37">
        <v>0.46130552347380882</v>
      </c>
      <c r="M108" s="23"/>
      <c r="T108" s="23"/>
      <c r="U108" s="37"/>
      <c r="V108" s="37"/>
    </row>
    <row r="109" spans="7:23" x14ac:dyDescent="0.2">
      <c r="J109" s="23">
        <f t="shared" si="8"/>
        <v>0.73417260808497686</v>
      </c>
      <c r="K109" s="37">
        <v>0.25305159218592371</v>
      </c>
      <c r="L109" s="37">
        <v>0.49465759819330141</v>
      </c>
      <c r="M109" s="23"/>
      <c r="T109" s="23"/>
      <c r="U109" s="37"/>
      <c r="V109" s="37"/>
    </row>
    <row r="110" spans="7:23" x14ac:dyDescent="0.2">
      <c r="J110" s="23">
        <f t="shared" si="8"/>
        <v>1.0075898688934746</v>
      </c>
      <c r="K110" s="37">
        <v>0.26268160346945485</v>
      </c>
      <c r="L110" s="37">
        <v>0.52800967291279399</v>
      </c>
      <c r="M110" s="23"/>
      <c r="T110" s="23"/>
      <c r="U110" s="37"/>
      <c r="V110" s="37"/>
    </row>
    <row r="111" spans="7:23" x14ac:dyDescent="0.2">
      <c r="J111" s="23">
        <f t="shared" si="8"/>
        <v>1.2810071297019723</v>
      </c>
      <c r="K111" s="37">
        <v>0.27256574549873197</v>
      </c>
      <c r="L111" s="37">
        <v>0.56136174763228663</v>
      </c>
      <c r="M111" s="23"/>
      <c r="T111" s="23"/>
      <c r="U111" s="37"/>
      <c r="V111" s="37"/>
    </row>
    <row r="112" spans="7:23" x14ac:dyDescent="0.2">
      <c r="J112" s="23">
        <f t="shared" si="8"/>
        <v>1.55442439051047</v>
      </c>
      <c r="K112" s="37">
        <v>0.28267736160120416</v>
      </c>
      <c r="L112" s="37">
        <v>0.59471382235177916</v>
      </c>
      <c r="M112" s="23"/>
      <c r="T112" s="23"/>
      <c r="U112" s="37"/>
      <c r="V112" s="37"/>
    </row>
    <row r="113" spans="7:22" x14ac:dyDescent="0.2">
      <c r="J113" s="23">
        <f t="shared" si="8"/>
        <v>1.8278416513189677</v>
      </c>
      <c r="K113" s="37">
        <v>0.29299290132851191</v>
      </c>
      <c r="L113" s="37">
        <v>0.62806589707127181</v>
      </c>
      <c r="M113" s="23"/>
      <c r="T113" s="23"/>
      <c r="U113" s="37"/>
      <c r="V113" s="37"/>
    </row>
    <row r="114" spans="7:22" x14ac:dyDescent="0.2">
      <c r="J114" s="23">
        <f t="shared" si="8"/>
        <v>2.1012589121274652</v>
      </c>
      <c r="K114" s="37">
        <v>0.30349157158069984</v>
      </c>
      <c r="L114" s="37">
        <v>0.66141797179076434</v>
      </c>
      <c r="M114" s="23"/>
      <c r="T114" s="23"/>
      <c r="U114" s="37"/>
      <c r="V114" s="37"/>
    </row>
    <row r="115" spans="7:22" x14ac:dyDescent="0.2">
      <c r="J115" s="23">
        <f t="shared" si="8"/>
        <v>2.3746761729359629</v>
      </c>
      <c r="K115" s="37">
        <v>0.31415501291033027</v>
      </c>
      <c r="L115" s="37">
        <v>0.69477004651025687</v>
      </c>
      <c r="M115" s="23"/>
      <c r="T115" s="23"/>
      <c r="U115" s="37"/>
      <c r="V115" s="37"/>
    </row>
    <row r="116" spans="7:22" x14ac:dyDescent="0.2">
      <c r="J116" s="23">
        <f t="shared" si="8"/>
        <v>2.6480934337444606</v>
      </c>
      <c r="K116" s="37">
        <v>0.32496700536731304</v>
      </c>
      <c r="L116" s="37">
        <v>0.72812212122974951</v>
      </c>
      <c r="M116" s="23"/>
      <c r="T116" s="23"/>
      <c r="U116" s="37"/>
      <c r="V116" s="37"/>
    </row>
    <row r="117" spans="7:22" x14ac:dyDescent="0.2">
      <c r="J117" s="23">
        <f t="shared" si="8"/>
        <v>2.9215106945529583</v>
      </c>
      <c r="K117" s="37">
        <v>0.33591320507335154</v>
      </c>
      <c r="L117" s="37">
        <v>0.76147419594924215</v>
      </c>
      <c r="M117" s="23"/>
      <c r="T117" s="23"/>
      <c r="U117" s="37"/>
      <c r="V117" s="37"/>
    </row>
    <row r="118" spans="7:22" x14ac:dyDescent="0.2">
      <c r="J118" s="23">
        <f t="shared" si="8"/>
        <v>3.194927955361456</v>
      </c>
      <c r="K118" s="37">
        <v>0.34698091076087539</v>
      </c>
      <c r="L118" s="37">
        <v>0.79482627066873468</v>
      </c>
      <c r="M118" s="23"/>
      <c r="T118" s="23"/>
      <c r="U118" s="37"/>
      <c r="V118" s="37"/>
    </row>
    <row r="120" spans="7:22" x14ac:dyDescent="0.2">
      <c r="G120" s="17" t="s">
        <v>46</v>
      </c>
      <c r="H120" t="s">
        <v>47</v>
      </c>
    </row>
    <row r="121" spans="7:22" x14ac:dyDescent="0.2">
      <c r="H121" t="s">
        <v>64</v>
      </c>
    </row>
    <row r="122" spans="7:22" x14ac:dyDescent="0.2">
      <c r="H122" t="s">
        <v>48</v>
      </c>
    </row>
    <row r="124" spans="7:22" x14ac:dyDescent="0.2">
      <c r="G124" s="17" t="s">
        <v>49</v>
      </c>
      <c r="H124" t="s">
        <v>61</v>
      </c>
    </row>
    <row r="125" spans="7:22" x14ac:dyDescent="0.2">
      <c r="G125" s="17"/>
    </row>
    <row r="126" spans="7:22" x14ac:dyDescent="0.2">
      <c r="G126" s="17"/>
    </row>
    <row r="127" spans="7:22" x14ac:dyDescent="0.2">
      <c r="G127" s="17"/>
    </row>
    <row r="128" spans="7:22" x14ac:dyDescent="0.2">
      <c r="G128" s="17"/>
    </row>
    <row r="129" spans="7:7" x14ac:dyDescent="0.2">
      <c r="G129" s="17"/>
    </row>
    <row r="130" spans="7:7" x14ac:dyDescent="0.2">
      <c r="G130" s="17"/>
    </row>
    <row r="131" spans="7:7" x14ac:dyDescent="0.2">
      <c r="G131" s="17"/>
    </row>
    <row r="132" spans="7:7" x14ac:dyDescent="0.2">
      <c r="G132" s="17"/>
    </row>
    <row r="133" spans="7:7" x14ac:dyDescent="0.2">
      <c r="G133" s="17"/>
    </row>
    <row r="134" spans="7:7" x14ac:dyDescent="0.2">
      <c r="G134" s="17"/>
    </row>
    <row r="135" spans="7:7" x14ac:dyDescent="0.2">
      <c r="G135" s="17"/>
    </row>
    <row r="136" spans="7:7" x14ac:dyDescent="0.2">
      <c r="G136" s="17"/>
    </row>
    <row r="137" spans="7:7" x14ac:dyDescent="0.2">
      <c r="G137" s="17"/>
    </row>
    <row r="138" spans="7:7" x14ac:dyDescent="0.2">
      <c r="G138" s="17"/>
    </row>
    <row r="139" spans="7:7" x14ac:dyDescent="0.2">
      <c r="G139" s="17"/>
    </row>
    <row r="140" spans="7:7" x14ac:dyDescent="0.2">
      <c r="G140" s="17"/>
    </row>
    <row r="141" spans="7:7" x14ac:dyDescent="0.2">
      <c r="G141" s="17"/>
    </row>
    <row r="142" spans="7:7" x14ac:dyDescent="0.2">
      <c r="G142" s="17"/>
    </row>
    <row r="143" spans="7:7" x14ac:dyDescent="0.2">
      <c r="G143" s="17"/>
    </row>
    <row r="145" spans="7:18" x14ac:dyDescent="0.2">
      <c r="G145" s="17" t="s">
        <v>50</v>
      </c>
      <c r="H145" t="s">
        <v>62</v>
      </c>
    </row>
    <row r="146" spans="7:18" x14ac:dyDescent="0.2">
      <c r="G146" s="17"/>
    </row>
    <row r="148" spans="7:18" x14ac:dyDescent="0.2">
      <c r="H148" s="41"/>
    </row>
    <row r="150" spans="7:18" x14ac:dyDescent="0.2">
      <c r="G150" t="s">
        <v>24</v>
      </c>
      <c r="H150" t="s">
        <v>51</v>
      </c>
    </row>
    <row r="151" spans="7:18" x14ac:dyDescent="0.2">
      <c r="H151" t="s">
        <v>52</v>
      </c>
    </row>
    <row r="153" spans="7:18" ht="32" x14ac:dyDescent="0.2">
      <c r="H153" s="30" t="s">
        <v>39</v>
      </c>
      <c r="I153" s="23">
        <f>PropX</f>
        <v>-1.4531654783830046</v>
      </c>
    </row>
    <row r="154" spans="7:18" ht="32" x14ac:dyDescent="0.2">
      <c r="H154" s="30" t="s">
        <v>40</v>
      </c>
      <c r="I154" s="23">
        <f>1-PropX</f>
        <v>2.4531654783830046</v>
      </c>
    </row>
    <row r="156" spans="7:18" ht="32" x14ac:dyDescent="0.2">
      <c r="I156" s="30" t="s">
        <v>39</v>
      </c>
      <c r="J156" s="30" t="s">
        <v>40</v>
      </c>
      <c r="K156" s="30" t="s">
        <v>53</v>
      </c>
      <c r="R156" s="30"/>
    </row>
    <row r="157" spans="7:18" x14ac:dyDescent="0.2">
      <c r="H157" s="13" t="s">
        <v>68</v>
      </c>
      <c r="I157" s="23">
        <f t="shared" ref="I157:I162" si="9">I76</f>
        <v>0.10651662135193139</v>
      </c>
      <c r="J157" s="23">
        <f t="shared" ref="J157:J162" si="10">L76</f>
        <v>0.20362506190742141</v>
      </c>
      <c r="K157" s="22">
        <f>$I$153*I157+$I$154*J157</f>
        <v>0.34473969538226767</v>
      </c>
      <c r="Q157" s="13"/>
      <c r="R157" s="23"/>
    </row>
    <row r="158" spans="7:18" x14ac:dyDescent="0.2">
      <c r="H158" s="13" t="s">
        <v>69</v>
      </c>
      <c r="I158" s="23">
        <f t="shared" si="9"/>
        <v>-0.27434255062103902</v>
      </c>
      <c r="J158" s="23">
        <f t="shared" si="10"/>
        <v>-0.70144380883237434</v>
      </c>
      <c r="K158" s="22">
        <f t="shared" ref="K158:K162" si="11">$I$153*I158+$I$154*J158</f>
        <v>-1.3220926130390327</v>
      </c>
      <c r="Q158" s="13"/>
      <c r="R158" s="23"/>
    </row>
    <row r="159" spans="7:18" x14ac:dyDescent="0.2">
      <c r="H159" s="13" t="s">
        <v>70</v>
      </c>
      <c r="I159" s="23">
        <f t="shared" si="9"/>
        <v>-0.29816791451133356</v>
      </c>
      <c r="J159" s="23">
        <f t="shared" si="10"/>
        <v>-0.26765348258109323</v>
      </c>
      <c r="K159" s="22">
        <f t="shared" si="11"/>
        <v>-0.22331096350759988</v>
      </c>
      <c r="Q159" s="13"/>
      <c r="R159" s="23"/>
    </row>
    <row r="160" spans="7:18" x14ac:dyDescent="0.2">
      <c r="H160" s="13" t="s">
        <v>71</v>
      </c>
      <c r="I160" s="23">
        <f t="shared" si="9"/>
        <v>1.6314098914860027E-2</v>
      </c>
      <c r="J160" s="23">
        <f t="shared" si="10"/>
        <v>9.4908587373041475E-2</v>
      </c>
      <c r="K160" s="22">
        <f t="shared" si="11"/>
        <v>0.20911938479164224</v>
      </c>
      <c r="Q160" s="13"/>
      <c r="R160" s="23"/>
    </row>
    <row r="161" spans="7:18" x14ac:dyDescent="0.2">
      <c r="H161" s="13" t="s">
        <v>72</v>
      </c>
      <c r="I161" s="23">
        <f t="shared" si="9"/>
        <v>0.98807196298001398</v>
      </c>
      <c r="J161" s="23">
        <f t="shared" si="10"/>
        <v>0.83689481314127623</v>
      </c>
      <c r="K161" s="22">
        <f t="shared" si="11"/>
        <v>0.61720939787528772</v>
      </c>
      <c r="Q161" s="13"/>
      <c r="R161" s="23"/>
    </row>
    <row r="162" spans="7:18" x14ac:dyDescent="0.2">
      <c r="H162" s="13" t="s">
        <v>73</v>
      </c>
      <c r="I162" s="23">
        <f t="shared" si="9"/>
        <v>0.46160778188556723</v>
      </c>
      <c r="J162" s="23">
        <f t="shared" si="10"/>
        <v>0.83366882899172845</v>
      </c>
      <c r="K162" s="22">
        <f t="shared" si="11"/>
        <v>1.3743350984974345</v>
      </c>
      <c r="Q162" s="13"/>
      <c r="R162" s="23"/>
    </row>
    <row r="163" spans="7:18" x14ac:dyDescent="0.2">
      <c r="H163" s="13"/>
    </row>
    <row r="164" spans="7:18" x14ac:dyDescent="0.2">
      <c r="G164" t="s">
        <v>27</v>
      </c>
      <c r="H164" s="25" t="s">
        <v>54</v>
      </c>
    </row>
    <row r="165" spans="7:18" x14ac:dyDescent="0.2">
      <c r="H165" s="25" t="s">
        <v>55</v>
      </c>
    </row>
    <row r="167" spans="7:18" x14ac:dyDescent="0.2">
      <c r="I167" s="17" t="s">
        <v>63</v>
      </c>
    </row>
    <row r="168" spans="7:18" ht="29" x14ac:dyDescent="0.2">
      <c r="H168" s="43"/>
      <c r="I168" s="44" t="s">
        <v>68</v>
      </c>
      <c r="J168" s="44" t="s">
        <v>69</v>
      </c>
      <c r="K168" s="44" t="s">
        <v>70</v>
      </c>
      <c r="L168" s="44" t="s">
        <v>71</v>
      </c>
      <c r="M168" s="44" t="s">
        <v>72</v>
      </c>
      <c r="N168" s="44" t="s">
        <v>73</v>
      </c>
      <c r="O168" s="42" t="s">
        <v>53</v>
      </c>
      <c r="R168" s="30"/>
    </row>
    <row r="169" spans="7:18" x14ac:dyDescent="0.2">
      <c r="H169" s="31">
        <v>1974</v>
      </c>
      <c r="I169" s="23">
        <v>-0.35052160079107603</v>
      </c>
      <c r="J169" s="23">
        <v>-0.115427016808705</v>
      </c>
      <c r="K169" s="23">
        <v>-0.42461777897429298</v>
      </c>
      <c r="L169" s="23">
        <v>-0.21065474228275799</v>
      </c>
      <c r="M169" s="23">
        <v>-7.5849935190021395E-2</v>
      </c>
      <c r="N169" s="23">
        <v>0.23308415283953199</v>
      </c>
      <c r="O169" s="22" cm="1">
        <f t="array" ref="O169">MMULT(I169:N169,$K$157:$K$162)</f>
        <v>0.35605675094529143</v>
      </c>
      <c r="R169" s="23"/>
    </row>
    <row r="170" spans="7:18" x14ac:dyDescent="0.2">
      <c r="H170" s="31">
        <v>1975</v>
      </c>
      <c r="I170" s="23">
        <v>0.70830675279858402</v>
      </c>
      <c r="J170" s="23">
        <v>0.24715342989608</v>
      </c>
      <c r="K170" s="23">
        <v>0.37192829004866401</v>
      </c>
      <c r="L170" s="23">
        <v>0.22267034887787199</v>
      </c>
      <c r="M170" s="23">
        <v>2.13455594959647E-2</v>
      </c>
      <c r="N170" s="23">
        <v>0.35688428711798598</v>
      </c>
      <c r="O170" s="22" cm="1">
        <f t="array" ref="O170">MMULT(I170:N170,$K$157:$K$162)</f>
        <v>0.38458403361859844</v>
      </c>
      <c r="R170" s="23"/>
    </row>
    <row r="171" spans="7:18" x14ac:dyDescent="0.2">
      <c r="H171" s="31">
        <v>1976</v>
      </c>
      <c r="I171" s="23">
        <v>0.73292518344993896</v>
      </c>
      <c r="J171" s="23">
        <v>0.36650775703605598</v>
      </c>
      <c r="K171" s="23">
        <v>0.25497345150849698</v>
      </c>
      <c r="L171" s="23">
        <v>0.58149498554192203</v>
      </c>
      <c r="M171" s="23">
        <v>0.12759455739410899</v>
      </c>
      <c r="N171" s="23">
        <v>7.8143049827309005E-2</v>
      </c>
      <c r="O171" s="22" cm="1">
        <f t="array" ref="O171">MMULT(I171:N171,$K$157:$K$162)</f>
        <v>1.8922008815067851E-2</v>
      </c>
      <c r="R171" s="23"/>
    </row>
    <row r="172" spans="7:18" x14ac:dyDescent="0.2">
      <c r="H172" s="31">
        <v>1977</v>
      </c>
      <c r="I172" s="23">
        <v>-0.20337089651647</v>
      </c>
      <c r="J172" s="23">
        <v>-0.42709310158538499</v>
      </c>
      <c r="K172" s="23">
        <v>-4.90054952988105E-2</v>
      </c>
      <c r="L172" s="23">
        <v>-9.3759251730965804E-2</v>
      </c>
      <c r="M172" s="23">
        <v>7.1203617980391404E-2</v>
      </c>
      <c r="N172" s="23">
        <v>-0.27210435873039401</v>
      </c>
      <c r="O172" s="22" cm="1">
        <f t="array" ref="O172">MMULT(I172:N172,$K$157:$K$162)</f>
        <v>0.1558681726260025</v>
      </c>
      <c r="R172" s="23"/>
    </row>
    <row r="173" spans="7:18" x14ac:dyDescent="0.2">
      <c r="H173" s="31">
        <v>1978</v>
      </c>
      <c r="I173" s="23">
        <v>0.16631380830155101</v>
      </c>
      <c r="J173" s="23">
        <v>-4.5234656878249499E-2</v>
      </c>
      <c r="K173" s="23">
        <v>-5.7338276574772397E-2</v>
      </c>
      <c r="L173" s="23">
        <v>0.27508351398493902</v>
      </c>
      <c r="M173" s="23">
        <v>0.13721589992538899</v>
      </c>
      <c r="N173" s="23">
        <v>-0.13455248768257999</v>
      </c>
      <c r="O173" s="22" cm="1">
        <f t="array" ref="O173">MMULT(I173:N173,$K$157:$K$162)</f>
        <v>8.7239674882013368E-2</v>
      </c>
      <c r="R173" s="23"/>
    </row>
    <row r="174" spans="7:18" x14ac:dyDescent="0.2">
      <c r="H174" s="31">
        <v>1979</v>
      </c>
      <c r="I174" s="23">
        <v>-0.265850708027982</v>
      </c>
      <c r="J174" s="23">
        <v>1.57745190040217E-2</v>
      </c>
      <c r="K174" s="23">
        <v>8.9837625190824999E-2</v>
      </c>
      <c r="L174" s="23">
        <v>7.9274090365131694E-2</v>
      </c>
      <c r="M174" s="23">
        <v>2.1504396084479498E-2</v>
      </c>
      <c r="N174" s="23">
        <v>0.22535993860408499</v>
      </c>
      <c r="O174" s="22" cm="1">
        <f t="array" ref="O174">MMULT(I174:N174,$K$157:$K$162)</f>
        <v>0.2070041439920822</v>
      </c>
      <c r="R174" s="23"/>
    </row>
    <row r="175" spans="7:18" x14ac:dyDescent="0.2">
      <c r="H175" s="31">
        <v>1980</v>
      </c>
      <c r="I175" s="23">
        <v>1.2405940163250299E-2</v>
      </c>
      <c r="J175" s="23">
        <v>0.47511879700069498</v>
      </c>
      <c r="K175" s="23">
        <v>0.33496535111442199</v>
      </c>
      <c r="L175" s="23">
        <v>-0.189433827683615</v>
      </c>
      <c r="M175" s="23">
        <v>0.200216810041323</v>
      </c>
      <c r="N175" s="23">
        <v>0.365666561986078</v>
      </c>
      <c r="O175" s="22" cm="1">
        <f t="array" ref="O175">MMULT(I175:N175,$K$157:$K$162)</f>
        <v>-0.11216586534627704</v>
      </c>
      <c r="R175" s="23"/>
    </row>
    <row r="176" spans="7:18" x14ac:dyDescent="0.2">
      <c r="H176" s="31">
        <v>1981</v>
      </c>
      <c r="I176" s="23">
        <v>-2.6361052853487998E-2</v>
      </c>
      <c r="J176" s="23">
        <v>-0.20422512647182001</v>
      </c>
      <c r="K176" s="23">
        <v>-2.75483166378085E-2</v>
      </c>
      <c r="L176" s="23">
        <v>-0.74267659573606604</v>
      </c>
      <c r="M176" s="23">
        <v>9.1325844915122203E-2</v>
      </c>
      <c r="N176" s="23">
        <v>4.7909671527621697E-2</v>
      </c>
      <c r="O176" s="22" cm="1">
        <f t="array" ref="O176">MMULT(I176:N176,$K$157:$K$162)</f>
        <v>0.2339717109950204</v>
      </c>
      <c r="R176" s="23"/>
    </row>
    <row r="177" spans="7:24" x14ac:dyDescent="0.2">
      <c r="H177" s="31">
        <v>1982</v>
      </c>
      <c r="I177" s="23">
        <v>1.0641987535145101</v>
      </c>
      <c r="J177" s="23">
        <v>-0.14927001874263299</v>
      </c>
      <c r="K177" s="23">
        <v>0.69682203601383796</v>
      </c>
      <c r="L177" s="23">
        <v>-0.26148626652978801</v>
      </c>
      <c r="M177" s="23">
        <v>0.22429342454962201</v>
      </c>
      <c r="N177" s="23">
        <v>4.55996855528756E-2</v>
      </c>
      <c r="O177" s="22" cm="1">
        <f t="array" ref="O177">MMULT(I177:N177,$K$157:$K$162)</f>
        <v>0.55503575364628577</v>
      </c>
      <c r="R177" s="23"/>
    </row>
    <row r="178" spans="7:24" x14ac:dyDescent="0.2">
      <c r="H178" s="31">
        <v>1983</v>
      </c>
      <c r="I178" s="23">
        <v>0.19421901141685899</v>
      </c>
      <c r="J178" s="23">
        <v>0.368040247274461</v>
      </c>
      <c r="K178" s="23">
        <v>0.31104887092647499</v>
      </c>
      <c r="L178" s="23">
        <v>1.86823240337963</v>
      </c>
      <c r="M178" s="23">
        <v>0.20660961824891599</v>
      </c>
      <c r="N178" s="23">
        <v>0.263965843652545</v>
      </c>
      <c r="O178" s="22" cm="1">
        <f t="array" ref="O178">MMULT(I178:N178,$K$157:$K$162)</f>
        <v>0.39189362019952184</v>
      </c>
      <c r="R178" s="23"/>
    </row>
    <row r="181" spans="7:24" x14ac:dyDescent="0.2">
      <c r="G181" t="s">
        <v>32</v>
      </c>
      <c r="H181" t="s">
        <v>56</v>
      </c>
    </row>
    <row r="182" spans="7:24" x14ac:dyDescent="0.2">
      <c r="Q182" s="17"/>
    </row>
    <row r="183" spans="7:24" ht="29" x14ac:dyDescent="0.2">
      <c r="I183" s="13" t="s">
        <v>68</v>
      </c>
      <c r="J183" s="13" t="s">
        <v>69</v>
      </c>
      <c r="K183" s="13" t="s">
        <v>70</v>
      </c>
      <c r="L183" s="13" t="s">
        <v>71</v>
      </c>
      <c r="M183" s="13" t="s">
        <v>72</v>
      </c>
      <c r="N183" s="13" t="s">
        <v>73</v>
      </c>
      <c r="O183" s="42" t="s">
        <v>53</v>
      </c>
      <c r="R183" s="13"/>
      <c r="S183" s="13"/>
      <c r="T183" s="13"/>
      <c r="U183" s="13"/>
      <c r="V183" s="13"/>
      <c r="W183" s="13"/>
      <c r="X183" s="42"/>
    </row>
    <row r="184" spans="7:24" x14ac:dyDescent="0.2">
      <c r="H184" s="21" t="s">
        <v>5</v>
      </c>
      <c r="I184" s="22">
        <f>AVERAGE(I169:I178)</f>
        <v>0.20322651914556772</v>
      </c>
      <c r="J184" s="22">
        <f t="shared" ref="J184:O184" si="12">AVERAGE(J169:J178)</f>
        <v>5.3134482972452116E-2</v>
      </c>
      <c r="K184" s="22">
        <f t="shared" si="12"/>
        <v>0.15010657573170366</v>
      </c>
      <c r="L184" s="22">
        <f t="shared" si="12"/>
        <v>0.15287446581863021</v>
      </c>
      <c r="M184" s="22">
        <f t="shared" si="12"/>
        <v>0.10254597934452954</v>
      </c>
      <c r="N184" s="22">
        <f t="shared" si="12"/>
        <v>0.12099563446950583</v>
      </c>
      <c r="O184" s="22">
        <f t="shared" si="12"/>
        <v>0.22784100043736069</v>
      </c>
      <c r="R184" s="23"/>
      <c r="S184" s="23"/>
      <c r="T184" s="23"/>
      <c r="U184" s="23"/>
      <c r="V184" s="23"/>
      <c r="W184" s="23"/>
      <c r="X184" s="23"/>
    </row>
    <row r="185" spans="7:24" x14ac:dyDescent="0.2">
      <c r="H185" s="21" t="s">
        <v>19</v>
      </c>
      <c r="I185" s="22">
        <f>SLOPE(I169:I178,$O$169:$O$178)</f>
        <v>0.79364212244914178</v>
      </c>
      <c r="J185" s="22">
        <f t="shared" ref="J185:N185" si="13">SLOPE(J169:J178,$O$169:$O$178)</f>
        <v>-0.46466893658982994</v>
      </c>
      <c r="K185" s="22">
        <f t="shared" si="13"/>
        <v>0.34830595433896311</v>
      </c>
      <c r="L185" s="22">
        <f t="shared" si="13"/>
        <v>0.37151082779785127</v>
      </c>
      <c r="M185" s="22">
        <f t="shared" si="13"/>
        <v>-5.0422891870064823E-2</v>
      </c>
      <c r="N185" s="22">
        <f t="shared" si="13"/>
        <v>0.10425157102039773</v>
      </c>
      <c r="O185" s="22">
        <f>SLOPE(O169:O178,$O$169:$O$178)</f>
        <v>1</v>
      </c>
      <c r="R185" s="23"/>
      <c r="S185" s="23"/>
      <c r="T185" s="23"/>
      <c r="U185" s="23"/>
      <c r="V185" s="23"/>
      <c r="W185" s="23"/>
      <c r="X185" s="23"/>
    </row>
    <row r="186" spans="7:24" x14ac:dyDescent="0.2">
      <c r="H186" s="21"/>
      <c r="I186" s="23"/>
      <c r="J186" s="23"/>
      <c r="K186" s="23"/>
      <c r="L186" s="23"/>
      <c r="M186" s="23"/>
      <c r="N186" s="23"/>
      <c r="O186" s="23"/>
      <c r="R186" s="23"/>
      <c r="S186" s="23"/>
      <c r="T186" s="23"/>
      <c r="U186" s="23"/>
      <c r="V186" s="23"/>
      <c r="W186" s="23"/>
      <c r="X186" s="23"/>
    </row>
    <row r="188" spans="7:24" x14ac:dyDescent="0.2">
      <c r="G188" t="s">
        <v>37</v>
      </c>
      <c r="H188" t="s">
        <v>57</v>
      </c>
    </row>
    <row r="189" spans="7:24" x14ac:dyDescent="0.2">
      <c r="Q189" s="17"/>
    </row>
    <row r="190" spans="7:24" x14ac:dyDescent="0.2">
      <c r="H190" t="s">
        <v>13</v>
      </c>
      <c r="I190" s="22">
        <f>INTERCEPT(I184:O184,I185:O185)</f>
        <v>0.10856044965864646</v>
      </c>
      <c r="R190" s="23"/>
    </row>
    <row r="191" spans="7:24" x14ac:dyDescent="0.2">
      <c r="H191" t="s">
        <v>14</v>
      </c>
      <c r="I191" s="22">
        <f>SLOPE(I184:O184,I185:O185)</f>
        <v>0.11928055077871419</v>
      </c>
      <c r="R191" s="23"/>
    </row>
    <row r="192" spans="7:24" x14ac:dyDescent="0.2">
      <c r="H192" t="s">
        <v>15</v>
      </c>
      <c r="I192" s="22">
        <f>RSQ(I184:O184,I185:O185)</f>
        <v>1.0000000000000004</v>
      </c>
      <c r="R192" s="23"/>
    </row>
  </sheetData>
  <sheetProtection algorithmName="SHA-512" hashValue="Io0NxIO/L3gYFpStPQOzBSCvUG+ydZF4r7g8QBTvRzmA6mndNhyZNuEGv/ofcUzYG5lGuLAdmz5PTvWmWfsuOA==" saltValue="v6ov1WHYLN4kO7XHpQgeoQ==" spinCount="100000" sheet="1" objects="1" scenarios="1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A76D1-03CF-4979-8283-5136A747200F}">
  <sheetPr codeName="Sheet3"/>
  <dimension ref="BN10:DR48"/>
  <sheetViews>
    <sheetView zoomScale="50" zoomScaleNormal="50" workbookViewId="0"/>
  </sheetViews>
  <sheetFormatPr baseColWidth="10" defaultColWidth="8.83203125" defaultRowHeight="15" x14ac:dyDescent="0.2"/>
  <sheetData>
    <row r="10" spans="66:69" x14ac:dyDescent="0.2">
      <c r="BN10" s="49">
        <v>45189.443287037036</v>
      </c>
    </row>
    <row r="12" spans="66:69" x14ac:dyDescent="0.2">
      <c r="BQ12" t="s">
        <v>81</v>
      </c>
    </row>
    <row r="48" spans="122:122" x14ac:dyDescent="0.2">
      <c r="DR48" t="s">
        <v>79</v>
      </c>
    </row>
  </sheetData>
  <sheetProtection algorithmName="SHA-512" hashValue="YCw4QU6nINJ9nGJkuJ4PG5ECJfkUbTjk6beozdl+sSWJ1QPKpYbkgvTq+Kdyjwsk/yQOfAZqCU+eeQKBoswuTw==" saltValue="gBvsS3KfQxHlnq7Ak7YIB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Name</vt:lpstr>
      <vt:lpstr>Sheet2</vt:lpstr>
      <vt:lpstr>AllOrds_Mean</vt:lpstr>
      <vt:lpstr>df_1</vt:lpstr>
      <vt:lpstr>Increment</vt:lpstr>
      <vt:lpstr>Port_Mean</vt:lpstr>
      <vt:lpstr>Port_SD</vt:lpstr>
      <vt:lpstr>PropX</vt:lpstr>
      <vt:lpstr>PropX1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Mikhail Bhatia</dc:creator>
  <cp:lastModifiedBy>Grant Fullston</cp:lastModifiedBy>
  <dcterms:created xsi:type="dcterms:W3CDTF">2015-02-26T04:46:42Z</dcterms:created>
  <dcterms:modified xsi:type="dcterms:W3CDTF">2023-09-20T04:00:44Z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120960</vt:lpwstr>
  </property>
</Properties>
</file>