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E39A1632-A8E3-4493-0D71-6A188D42057B}"/>
  <workbookPr codeName="ThisWorkbook" defaultThemeVersion="124226"/>
  <mc:AlternateContent xmlns:mc="http://schemas.openxmlformats.org/markup-compatibility/2006">
    <mc:Choice Requires="x15">
      <x15ac:absPath xmlns:x15ac="http://schemas.microsoft.com/office/spreadsheetml/2010/11/ac" url="/Users/g/Desktop/Uni Sub/2023/Sem2/BFC3540 Financial Modelling/Week6/"/>
    </mc:Choice>
  </mc:AlternateContent>
  <xr:revisionPtr revIDLastSave="0" documentId="13_ncr:1_{B0C25342-F00C-2D43-830B-D9309166053D}" xr6:coauthVersionLast="47" xr6:coauthVersionMax="47" xr10:uidLastSave="{00000000-0000-0000-0000-000000000000}"/>
  <bookViews>
    <workbookView xWindow="41600" yWindow="-21100" windowWidth="38400" windowHeight="21100" activeTab="4" xr2:uid="{00000000-000D-0000-FFFF-FFFF00000000}"/>
  </bookViews>
  <sheets>
    <sheet name="Name" sheetId="4" r:id="rId1"/>
    <sheet name="IF Statements 1" sheetId="1" r:id="rId2"/>
    <sheet name="IF Statements 2" sheetId="2" r:id="rId3"/>
    <sheet name="IF Statements 3" sheetId="5" r:id="rId4"/>
    <sheet name="Mathematical Functions" sheetId="3" r:id="rId5"/>
    <sheet name="other" sheetId="7" state="veryHidden" r:id="rId6"/>
  </sheets>
  <functionGroups builtInGroupCount="19"/>
  <externalReferences>
    <externalReference r:id="rId7"/>
    <externalReference r:id="rId8"/>
    <externalReference r:id="rId9"/>
  </externalReferences>
  <definedNames>
    <definedName name="â" hidden="1">other!$BM$10</definedName>
    <definedName name="abc">'Mathematical Functions'!$C$39:$C$48</definedName>
    <definedName name="bank_data">'IF Statements 3'!$C$23:$F$46</definedName>
    <definedName name="bank_output">'IF Statements 3'!$I$23:$L$46</definedName>
    <definedName name="CustomVariablesStoredValue">#REF!</definedName>
    <definedName name="CustomVariablesValue">#REF!</definedName>
    <definedName name="dates_in">'IF Statements 3'!$B$23:$B$46</definedName>
    <definedName name="dates_out">'IF Statements 3'!$H$23:$H$46</definedName>
    <definedName name="df">'Mathematical Functions'!$D$40:$E$48,'Mathematical Functions'!$C$21:$D$29</definedName>
    <definedName name="df_1">'IF Statements 1'!$F$60:$P$77</definedName>
    <definedName name="df_2">'IF Statements 2'!$M$34:$N$34,'IF Statements 2'!$M$36:$N$36,'IF Statements 2'!$M$38:$N$38,'IF Statements 2'!$N$52:$V$65</definedName>
    <definedName name="df_3">'IF Statements 3'!$J$24,'IF Statements 3'!$I$23:$P$46,'IF Statements 3'!$I$51:$P$53,'IF Statements 3'!$C$51:$G$54,'IF Statements 3'!$C$58:$I$65</definedName>
    <definedName name="df_4">'Mathematical Functions'!$D$22,'Mathematical Functions'!$C$21:$G$30,'Mathematical Functions'!$D$40:$G$49</definedName>
    <definedName name="è" hidden="1">other!$DV$48</definedName>
    <definedName name="î" hidden="1">other!$CM$12</definedName>
    <definedName name="input">'IF Statements 1'!$F$40:$K$49</definedName>
    <definedName name="input2">'IF Statements 2'!$N$12:$S$21</definedName>
    <definedName name="MatrixA">#REF!</definedName>
    <definedName name="MatrixB">#REF!</definedName>
    <definedName name="ö" hidden="1">other!$DM$18</definedName>
    <definedName name="output">'IF Statements 1'!$F$60:$K$69</definedName>
    <definedName name="output2">'IF Statements 2'!$N$52:$S$61</definedName>
    <definedName name="Portfolio_Mean1">'[1]Set 1 - Task 3'!$C$19</definedName>
    <definedName name="Portfolio_Mean2">'[1]Set 2 - Task 3'!$C$19</definedName>
    <definedName name="Portfolio_Mean3">'[1]Set 3 - Task 3'!$C$19</definedName>
    <definedName name="prop">'IF Statements 3'!$C$58:$F$60</definedName>
    <definedName name="Range1" hidden="1">other!$BN$10</definedName>
    <definedName name="Range2" hidden="1">other!$BQ$12</definedName>
    <definedName name="Range3" hidden="1">other!$DD$18</definedName>
    <definedName name="Range4" hidden="1">other!$DR$48</definedName>
    <definedName name="Stock_Data">'IF Statements 1'!$F$39:$K$49</definedName>
    <definedName name="Stock_Data1">'[2]Columns, Average, StDev'!$B$15:$G$25</definedName>
    <definedName name="Stock_Data2">'[2]Columns, Average, StDev'!$B$45:$H$56</definedName>
    <definedName name="Stock_Date">'IF Statements 1'!$E$40:$E$49</definedName>
    <definedName name="Stock_Date1">'[2]Columns, Average, StDev'!$A$16:$A$25</definedName>
    <definedName name="Stock_Date2">'[2]Columns, Average, StDev'!$A$46:$A$56</definedName>
    <definedName name="Stock_Info">'IF Statements 1'!$G$51:$H$56</definedName>
    <definedName name="Stock_Name">[3]VarCov!$C$5:$H$5</definedName>
    <definedName name="Stock1_Data">'[1]Set 1 - Task 1'!$C$6:$C$15</definedName>
    <definedName name="Stock1_Proportion">'[1]Set 1 - Task 3'!$C$14</definedName>
    <definedName name="Stock2_Data">'[1]Set 1 - Task 1'!$D$6:$D$15</definedName>
    <definedName name="Stock3_Data">'[1]Set 2 - Task 1'!$C$6:$C$15</definedName>
    <definedName name="Stock3_Proportion">'[1]Set 2 - Task 3'!$C$14</definedName>
    <definedName name="Stock4_Data">'[1]Set 2 - Task 1'!$D$6:$D$15</definedName>
    <definedName name="Stock5_Data">'[1]Set 3 - Task 1'!$C$6:$C$15</definedName>
    <definedName name="Stock5_Proportion">'[1]Set 3 - Task 3'!$C$14</definedName>
    <definedName name="Stock6_Data">'[1]Set 3 - Task 1'!$D$6:$D$15</definedName>
    <definedName name="wl_count">'IF Statements 3'!$C$51:$F$53</definedName>
    <definedName name="wlfun_count">'IF Statements 3'!$I$51:$L$53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9" i="3" l="1"/>
  <c r="D28" i="3"/>
  <c r="D27" i="3"/>
  <c r="D22" i="3"/>
  <c r="E40" i="3"/>
  <c r="E41" i="3"/>
  <c r="E42" i="3"/>
  <c r="E43" i="3"/>
  <c r="E44" i="3"/>
  <c r="E45" i="3"/>
  <c r="E46" i="3"/>
  <c r="E47" i="3"/>
  <c r="E48" i="3"/>
  <c r="D26" i="3"/>
  <c r="D25" i="3"/>
  <c r="D24" i="3"/>
  <c r="D23" i="3"/>
  <c r="D21" i="3"/>
  <c r="N11" i="2" a="1"/>
  <c r="M12" i="2" a="1"/>
  <c r="M17" i="2" s="1"/>
  <c r="M57" i="2" s="1"/>
  <c r="E69" i="1"/>
  <c r="E67" i="1"/>
  <c r="E64" i="1"/>
  <c r="E61" i="1"/>
  <c r="E60" i="1"/>
  <c r="K59" i="1"/>
  <c r="I59" i="1"/>
  <c r="H59" i="1"/>
  <c r="F59" i="1"/>
  <c r="E68" i="1"/>
  <c r="E65" i="1"/>
  <c r="N10" i="2"/>
  <c r="N50" i="2" s="1"/>
  <c r="I51" i="5" a="1"/>
  <c r="I51" i="5" l="1"/>
  <c r="S11" i="2"/>
  <c r="S51" i="2" s="1"/>
  <c r="P21" i="2"/>
  <c r="S14" i="2"/>
  <c r="P17" i="2"/>
  <c r="P13" i="2"/>
  <c r="Q21" i="2"/>
  <c r="Q17" i="2"/>
  <c r="O12" i="2"/>
  <c r="O19" i="2"/>
  <c r="O15" i="2"/>
  <c r="Q12" i="2"/>
  <c r="O11" i="2"/>
  <c r="O51" i="2" s="1"/>
  <c r="P20" i="2"/>
  <c r="R17" i="2"/>
  <c r="N15" i="2"/>
  <c r="P12" i="2"/>
  <c r="Q20" i="2"/>
  <c r="S17" i="2"/>
  <c r="Q16" i="2"/>
  <c r="S13" i="2"/>
  <c r="R20" i="2"/>
  <c r="P19" i="2"/>
  <c r="N18" i="2"/>
  <c r="R16" i="2"/>
  <c r="P15" i="2"/>
  <c r="N14" i="2"/>
  <c r="R12" i="2"/>
  <c r="P11" i="2"/>
  <c r="P51" i="2" s="1"/>
  <c r="R18" i="2"/>
  <c r="R14" i="2"/>
  <c r="O20" i="2"/>
  <c r="R21" i="2"/>
  <c r="N19" i="2"/>
  <c r="P16" i="2"/>
  <c r="R13" i="2"/>
  <c r="N11" i="2"/>
  <c r="S16" i="2"/>
  <c r="N21" i="2"/>
  <c r="R19" i="2"/>
  <c r="P18" i="2"/>
  <c r="N17" i="2"/>
  <c r="R15" i="2"/>
  <c r="P14" i="2"/>
  <c r="N13" i="2"/>
  <c r="R11" i="2"/>
  <c r="R51" i="2" s="1"/>
  <c r="N20" i="2"/>
  <c r="N16" i="2"/>
  <c r="N12" i="2"/>
  <c r="S18" i="2"/>
  <c r="O16" i="2"/>
  <c r="Q13" i="2"/>
  <c r="S21" i="2"/>
  <c r="S20" i="2"/>
  <c r="Q19" i="2"/>
  <c r="O18" i="2"/>
  <c r="Q15" i="2"/>
  <c r="O14" i="2"/>
  <c r="S12" i="2"/>
  <c r="Q11" i="2"/>
  <c r="Q51" i="2" s="1"/>
  <c r="O21" i="2"/>
  <c r="S19" i="2"/>
  <c r="Q18" i="2"/>
  <c r="O17" i="2"/>
  <c r="S15" i="2"/>
  <c r="Q14" i="2"/>
  <c r="O13" i="2"/>
  <c r="M18" i="2"/>
  <c r="M58" i="2" s="1"/>
  <c r="M20" i="2"/>
  <c r="M60" i="2" s="1"/>
  <c r="M15" i="2"/>
  <c r="M55" i="2" s="1"/>
  <c r="M12" i="2"/>
  <c r="M52" i="2" s="1"/>
  <c r="M16" i="2"/>
  <c r="M56" i="2" s="1"/>
  <c r="M19" i="2"/>
  <c r="M59" i="2" s="1"/>
  <c r="M21" i="2"/>
  <c r="M61" i="2" s="1"/>
  <c r="M13" i="2"/>
  <c r="M53" i="2" s="1"/>
  <c r="M14" i="2"/>
  <c r="M54" i="2" s="1"/>
  <c r="J59" i="1"/>
  <c r="E62" i="1"/>
  <c r="G51" i="1" a="1"/>
  <c r="G56" i="1" s="1"/>
  <c r="G59" i="1"/>
  <c r="E66" i="1"/>
  <c r="E63" i="1"/>
  <c r="G51" i="1" l="1"/>
  <c r="G54" i="1"/>
  <c r="G53" i="1"/>
  <c r="G55" i="1"/>
  <c r="G52" i="1"/>
  <c r="N51" i="2"/>
  <c r="M35" i="2"/>
  <c r="M33" i="2"/>
  <c r="M37" i="2"/>
  <c r="O23" i="2" l="1" a="1"/>
  <c r="P24" i="2" l="1"/>
  <c r="P27" i="2"/>
  <c r="P25" i="2"/>
  <c r="P26" i="2"/>
  <c r="P23" i="2"/>
  <c r="P28" i="2"/>
  <c r="O28" i="2"/>
  <c r="O23" i="2"/>
  <c r="O26" i="2"/>
  <c r="O25" i="2"/>
  <c r="O27" i="2"/>
  <c r="O24"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<sst xmlns="http://schemas.openxmlformats.org/spreadsheetml/2006/main" count="186" uniqueCount="78">
  <si>
    <t>Input 1</t>
  </si>
  <si>
    <t>Input 2</t>
  </si>
  <si>
    <t>Input 3</t>
  </si>
  <si>
    <t>Output 1</t>
  </si>
  <si>
    <t>Output 2</t>
  </si>
  <si>
    <t>Output 3</t>
  </si>
  <si>
    <t>You must adhere to the following conditions:</t>
  </si>
  <si>
    <t>Condition (3) take precedence over conditions (1) and (2)</t>
  </si>
  <si>
    <t>Use VBA to count the following, output your answer into the blue cells below:</t>
  </si>
  <si>
    <t>Using VBA, evaluate the following:</t>
  </si>
  <si>
    <t>LN 5</t>
  </si>
  <si>
    <t>LN 678</t>
  </si>
  <si>
    <t>LN 3.1415</t>
  </si>
  <si>
    <r>
      <t>e</t>
    </r>
    <r>
      <rPr>
        <vertAlign val="superscript"/>
        <sz val="11"/>
        <color theme="1"/>
        <rFont val="Calibri"/>
        <family val="2"/>
        <scheme val="minor"/>
      </rPr>
      <t>3.1415</t>
    </r>
  </si>
  <si>
    <r>
      <t>e</t>
    </r>
    <r>
      <rPr>
        <vertAlign val="superscript"/>
        <sz val="11"/>
        <color theme="1"/>
        <rFont val="Calibri"/>
        <family val="2"/>
        <scheme val="minor"/>
      </rPr>
      <t>56</t>
    </r>
  </si>
  <si>
    <r>
      <t>e</t>
    </r>
    <r>
      <rPr>
        <vertAlign val="superscript"/>
        <sz val="11"/>
        <color theme="1"/>
        <rFont val="Calibri"/>
        <family val="2"/>
        <scheme val="minor"/>
      </rPr>
      <t>2</t>
    </r>
  </si>
  <si>
    <t>Φ(0)</t>
  </si>
  <si>
    <t>Φ(.5)</t>
  </si>
  <si>
    <t>Φ(1.96) - Φ(-1.96)</t>
  </si>
  <si>
    <t>Prototype your program in the yellow cells</t>
  </si>
  <si>
    <t>r(t) = LN(P(t)) - LN(P(t-1))</t>
  </si>
  <si>
    <t>ABC</t>
  </si>
  <si>
    <t>Find the yearly log returns for ABC stock using the following formula</t>
  </si>
  <si>
    <t>r(t) is the return at time t</t>
  </si>
  <si>
    <t>P(t) is the stock price at time t</t>
  </si>
  <si>
    <t>Returns</t>
  </si>
  <si>
    <t>Prototype you program in the yellow cells first</t>
  </si>
  <si>
    <t>Name:</t>
  </si>
  <si>
    <t>IF Statement Experimentation</t>
  </si>
  <si>
    <t>IF Statements</t>
  </si>
  <si>
    <t>Mathematical Functions</t>
  </si>
  <si>
    <t>Second Part:</t>
  </si>
  <si>
    <t>You should assume that the assessment is case sensitive.</t>
  </si>
  <si>
    <r>
      <t xml:space="preserve">The first part is not graded. </t>
    </r>
    <r>
      <rPr>
        <b/>
        <u/>
        <sz val="24"/>
        <color rgb="FFFF0000"/>
        <rFont val="Calibri"/>
        <family val="2"/>
        <scheme val="minor"/>
      </rPr>
      <t>The second part is.</t>
    </r>
  </si>
  <si>
    <t xml:space="preserve">First Part: </t>
  </si>
  <si>
    <t>Use the following input and output cells to play with IF statements</t>
  </si>
  <si>
    <t>ANZ</t>
  </si>
  <si>
    <t>NAB</t>
  </si>
  <si>
    <t>CBA</t>
  </si>
  <si>
    <t>WBC</t>
  </si>
  <si>
    <t>(2) Replace the lowest monthly return each month with the word "Loser"</t>
  </si>
  <si>
    <t>(1) Replace the highest monthly return each month with the word "Winner"</t>
  </si>
  <si>
    <t>Winner</t>
  </si>
  <si>
    <t>Loser</t>
  </si>
  <si>
    <t>Neutral</t>
  </si>
  <si>
    <t>Your second task is to count the number of times each firm has been a Winner, Loser and neither a Winner nor a Loser (Neutral)</t>
  </si>
  <si>
    <t>Your final task is to find the proportion (% of the number of months) each firm has been a Winner, Loser or Neutral</t>
  </si>
  <si>
    <t>Weekly returns for six stocks</t>
  </si>
  <si>
    <t>Copy the weekly returns for six stocks into the blue cells below</t>
  </si>
  <si>
    <t>Authcate:</t>
  </si>
  <si>
    <t>Copy the returns for six stocks into the blue cells. If a return is greater than 5%, then the corressponding cell should say "Big"</t>
  </si>
  <si>
    <t>(1) If the stock return for that week is less than -2% then the corresponding blue cell should contain the text "&lt;-2%"</t>
  </si>
  <si>
    <t>(2) If the stock return for that week is greater than 5% then the corresponding blue cell should contain the text "&gt;5%"</t>
  </si>
  <si>
    <t>(3) If a stock has a negative return and at least three other stock have a negative return in that week, the corresponding blue cells for those stocks should read "Bear Market" and any stocks that have positive returns in that week should have corresponding blue cells that read "Contrarian"</t>
  </si>
  <si>
    <t>File:</t>
  </si>
  <si>
    <t>Using the data for the Big 4 Australian banks (retrieved from Yahoo Finance) your task is to identify the best and worst performing stock each month</t>
  </si>
  <si>
    <t>To do this copy the returns from the white cells to the blue cells subject to the following conditions:</t>
  </si>
  <si>
    <t>VBA3</t>
  </si>
  <si>
    <t>XASX:GEM</t>
  </si>
  <si>
    <t>XASX:JIN</t>
  </si>
  <si>
    <t>XASX:ACL</t>
  </si>
  <si>
    <t>XASX:MVF</t>
  </si>
  <si>
    <t>XASX:BCB</t>
  </si>
  <si>
    <t>XASX:PLS</t>
  </si>
  <si>
    <t>G8 EDUCATION LIMITED</t>
  </si>
  <si>
    <t>JUMBO INTERACTIVE LIMITED</t>
  </si>
  <si>
    <t>Australian Clinical Labs Ltd</t>
  </si>
  <si>
    <t>MONASH IVF GROUP LIMITED</t>
  </si>
  <si>
    <t>BOWEN COKING COAL LIMITED</t>
  </si>
  <si>
    <t>PILBARA MINERALS LIMITED</t>
  </si>
  <si>
    <t>LG2RF4LXDCxhDetAo9sxSDA3PLnDgniw0Ihju60ZsEczsgHSTRXF6Fp54NRVLp7yfJMlJOfrGWH0XywU7SBGlHUNjf6W0qlzKb1mxQJsvYw2CzbmmkqIQZ9ONhloe8QHydg4ciyuaqKKr1GnBmFa5aog2i9</t>
  </si>
  <si>
    <t>Grant Fullston</t>
  </si>
  <si>
    <t>gful0002</t>
  </si>
  <si>
    <t>Big</t>
  </si>
  <si>
    <t>&gt;5%</t>
  </si>
  <si>
    <t>Contrarian</t>
  </si>
  <si>
    <t>Bear Market</t>
  </si>
  <si>
    <t>&lt;-2%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</si>
</sst>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
  </numFmts>
  <fonts count="15" x14ac:knownFonts="1">
    <font>
      <sz val="11"/>
      <color theme="1"/>
      <name val="Calibri"/>
      <family val="2"/>
      <scheme val="minor"/>
    </font>
    <font>
      <b/>
      <sz val="11"/>
      <color theme="1"/>
      <name val="Calibri"/>
      <family val="2"/>
      <scheme val="minor"/>
    </font>
    <font>
      <b/>
      <sz val="10"/>
      <name val="Arial"/>
      <family val="2"/>
    </font>
    <font>
      <vertAlign val="superscript"/>
      <sz val="11"/>
      <color theme="1"/>
      <name val="Calibri"/>
      <family val="2"/>
      <scheme val="minor"/>
    </font>
    <font>
      <sz val="11"/>
      <color theme="1"/>
      <name val="Calibri"/>
      <family val="2"/>
    </font>
    <font>
      <sz val="12"/>
      <name val="Arial"/>
      <family val="2"/>
    </font>
    <font>
      <b/>
      <sz val="18"/>
      <color theme="1"/>
      <name val="Calibri"/>
      <family val="2"/>
      <scheme val="minor"/>
    </font>
    <font>
      <u/>
      <sz val="11"/>
      <color theme="10"/>
      <name val="Calibri"/>
      <family val="2"/>
      <scheme val="minor"/>
    </font>
    <font>
      <b/>
      <sz val="24"/>
      <color rgb="FFFF0000"/>
      <name val="Calibri"/>
      <family val="2"/>
      <scheme val="minor"/>
    </font>
    <font>
      <sz val="24"/>
      <color rgb="FFFF0000"/>
      <name val="Calibri"/>
      <family val="2"/>
      <scheme val="minor"/>
    </font>
    <font>
      <b/>
      <u/>
      <sz val="24"/>
      <color rgb="FFFF0000"/>
      <name val="Calibri"/>
      <family val="2"/>
      <scheme val="minor"/>
    </font>
    <font>
      <b/>
      <sz val="11"/>
      <color rgb="FFFF0000"/>
      <name val="Calibri"/>
      <family val="2"/>
      <scheme val="minor"/>
    </font>
    <font>
      <sz val="11"/>
      <color rgb="FF222222"/>
      <name val="Calibri"/>
      <family val="2"/>
      <scheme val="minor"/>
    </font>
    <font>
      <u/>
      <sz val="11"/>
      <color theme="10"/>
      <name val="Calibri"/>
      <family val="2"/>
    </font>
    <font>
      <sz val="10"/>
      <name val="Arial"/>
      <family val="2"/>
    </font>
  </fonts>
  <fills count="7">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FFFF00"/>
        <bgColor indexed="64"/>
      </patternFill>
    </fill>
    <fill>
      <patternFill patternType="solid">
        <fgColor indexed="50"/>
        <bgColor indexed="64"/>
      </patternFill>
    </fill>
    <fill>
      <patternFill patternType="solid">
        <fgColor rgb="FF92D05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
    <xf numFmtId="0" fontId="0" fillId="0" borderId="0"/>
    <xf numFmtId="0" fontId="7" fillId="0" borderId="0" applyNumberFormat="0" applyFill="0" applyBorder="0" applyAlignment="0" applyProtection="0"/>
    <xf numFmtId="0" fontId="13" fillId="0" borderId="0" applyNumberFormat="0" applyFill="0" applyBorder="0" applyAlignment="0" applyProtection="0">
      <alignment vertical="top"/>
      <protection locked="0"/>
    </xf>
    <xf numFmtId="0" fontId="14" fillId="0" borderId="0"/>
    <xf numFmtId="9" fontId="14" fillId="0" borderId="0" applyFont="0" applyFill="0" applyBorder="0" applyAlignment="0" applyProtection="0"/>
  </cellStyleXfs>
  <cellXfs count="45">
    <xf numFmtId="0" fontId="0" fillId="0" borderId="0" xfId="0"/>
    <xf numFmtId="0" fontId="1" fillId="0" borderId="0" xfId="0" applyFont="1"/>
    <xf numFmtId="0" fontId="1" fillId="0" borderId="1" xfId="0" applyFont="1" applyBorder="1"/>
    <xf numFmtId="0" fontId="0" fillId="2" borderId="1" xfId="0" applyFill="1" applyBorder="1"/>
    <xf numFmtId="0" fontId="2" fillId="0" borderId="0" xfId="0" applyFont="1" applyAlignment="1">
      <alignment horizontal="centerContinuous"/>
    </xf>
    <xf numFmtId="0" fontId="0" fillId="0" borderId="0" xfId="0" applyAlignment="1">
      <alignment horizontal="centerContinuous"/>
    </xf>
    <xf numFmtId="164" fontId="2" fillId="0" borderId="0" xfId="0" applyNumberFormat="1" applyFont="1"/>
    <xf numFmtId="164" fontId="0" fillId="0" borderId="0" xfId="0" applyNumberFormat="1" applyAlignment="1">
      <alignment horizontal="center"/>
    </xf>
    <xf numFmtId="164" fontId="0" fillId="0" borderId="0" xfId="0" applyNumberFormat="1" applyAlignment="1">
      <alignment horizontal="left"/>
    </xf>
    <xf numFmtId="0" fontId="2" fillId="0" borderId="0" xfId="0" applyFont="1" applyAlignment="1">
      <alignment horizontal="center"/>
    </xf>
    <xf numFmtId="0" fontId="2" fillId="0" borderId="0" xfId="0" applyFont="1"/>
    <xf numFmtId="164" fontId="0" fillId="2" borderId="0" xfId="0" applyNumberFormat="1" applyFill="1" applyAlignment="1">
      <alignment horizontal="center"/>
    </xf>
    <xf numFmtId="0" fontId="2" fillId="0" borderId="0" xfId="0" applyFont="1" applyAlignment="1">
      <alignment horizontal="left"/>
    </xf>
    <xf numFmtId="0" fontId="0" fillId="0" borderId="0" xfId="0" applyAlignment="1">
      <alignment horizontal="left"/>
    </xf>
    <xf numFmtId="0" fontId="0" fillId="2" borderId="0" xfId="0" applyFill="1"/>
    <xf numFmtId="0" fontId="4" fillId="0" borderId="0" xfId="0" applyFont="1"/>
    <xf numFmtId="164" fontId="2" fillId="0" borderId="0" xfId="0" applyNumberFormat="1" applyFont="1" applyAlignment="1">
      <alignment horizontal="center"/>
    </xf>
    <xf numFmtId="0" fontId="1" fillId="0" borderId="0" xfId="0" applyFont="1" applyAlignment="1">
      <alignment horizontal="center"/>
    </xf>
    <xf numFmtId="0" fontId="5" fillId="5" borderId="0" xfId="0" applyFont="1" applyFill="1"/>
    <xf numFmtId="0" fontId="6" fillId="0" borderId="0" xfId="0" applyFont="1"/>
    <xf numFmtId="0" fontId="7" fillId="5" borderId="0" xfId="1" applyFill="1" applyProtection="1"/>
    <xf numFmtId="0" fontId="8" fillId="0" borderId="0" xfId="0" applyFont="1"/>
    <xf numFmtId="0" fontId="9" fillId="0" borderId="0" xfId="0" applyFont="1"/>
    <xf numFmtId="0" fontId="11" fillId="0" borderId="0" xfId="0" applyFont="1"/>
    <xf numFmtId="0" fontId="0" fillId="0" borderId="2" xfId="0" applyBorder="1"/>
    <xf numFmtId="0" fontId="1" fillId="0" borderId="3" xfId="0" applyFont="1" applyBorder="1" applyAlignment="1">
      <alignment horizontal="center"/>
    </xf>
    <xf numFmtId="0" fontId="1" fillId="0" borderId="4" xfId="0" applyFont="1" applyBorder="1" applyAlignment="1">
      <alignment horizontal="center"/>
    </xf>
    <xf numFmtId="17" fontId="1" fillId="0" borderId="5" xfId="0" applyNumberFormat="1" applyFont="1" applyBorder="1"/>
    <xf numFmtId="0" fontId="0" fillId="0" borderId="0" xfId="0" applyAlignment="1">
      <alignment horizontal="center"/>
    </xf>
    <xf numFmtId="0" fontId="0" fillId="0" borderId="6" xfId="0" applyBorder="1"/>
    <xf numFmtId="17" fontId="1" fillId="0" borderId="7" xfId="0" applyNumberFormat="1" applyFont="1" applyBorder="1"/>
    <xf numFmtId="0" fontId="0" fillId="0" borderId="8" xfId="0" applyBorder="1" applyAlignment="1">
      <alignment horizontal="center"/>
    </xf>
    <xf numFmtId="0" fontId="0" fillId="0" borderId="8" xfId="0" applyBorder="1"/>
    <xf numFmtId="0" fontId="0" fillId="0" borderId="9" xfId="0" applyBorder="1"/>
    <xf numFmtId="17" fontId="1" fillId="0" borderId="0" xfId="0" applyNumberFormat="1" applyFont="1"/>
    <xf numFmtId="0" fontId="0" fillId="3" borderId="1" xfId="0" applyFill="1" applyBorder="1" applyProtection="1">
      <protection locked="0"/>
    </xf>
    <xf numFmtId="0" fontId="0" fillId="4" borderId="1" xfId="0" applyFill="1" applyBorder="1" applyProtection="1">
      <protection locked="0"/>
    </xf>
    <xf numFmtId="0" fontId="0" fillId="2" borderId="0" xfId="0" applyFill="1" applyAlignment="1">
      <alignment horizontal="center"/>
    </xf>
    <xf numFmtId="10" fontId="0" fillId="2" borderId="0" xfId="0" applyNumberFormat="1" applyFill="1" applyAlignment="1">
      <alignment horizontal="center"/>
    </xf>
    <xf numFmtId="14" fontId="2" fillId="0" borderId="0" xfId="0" applyNumberFormat="1" applyFont="1" applyAlignment="1">
      <alignment horizontal="center"/>
    </xf>
    <xf numFmtId="0" fontId="12" fillId="0" borderId="0" xfId="0" applyFont="1"/>
    <xf numFmtId="0" fontId="0" fillId="6" borderId="0" xfId="0" applyFill="1" applyAlignment="1" applyProtection="1">
      <alignment horizontal="center"/>
      <protection locked="0"/>
    </xf>
    <xf numFmtId="165" fontId="0" fillId="2" borderId="0" xfId="0" applyNumberFormat="1" applyFill="1"/>
    <xf numFmtId="165" fontId="0" fillId="4" borderId="0" xfId="0" applyNumberFormat="1" applyFill="1" applyProtection="1">
      <protection locked="0"/>
    </xf>
    <xf numFmtId="22" fontId="0" fillId="0" borderId="0" xfId="0" applyNumberFormat="1"/>
  </cellXfs>
  <cellStyles count="5">
    <cellStyle name="Hyperlink" xfId="1" builtinId="8"/>
    <cellStyle name="Hyperlink 2" xfId="2" xr:uid="{00000000-0005-0000-0000-000001000000}"/>
    <cellStyle name="Normal" xfId="0" builtinId="0"/>
    <cellStyle name="Normal 2" xfId="3" xr:uid="{00000000-0005-0000-0000-000003000000}"/>
    <cellStyle name="Percent 2" xfId="4" xr:uid="{00000000-0005-0000-0000-000004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Work/BFC3540%20S1_2018/Slave%20SS%20-%20No%20Code/W1SS_Slave.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imdin/Google%20Drive/People/Paul%20Lajbcygier/BFC3540%20Master%20Slave/Input_UG/W3VBA_Sla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Work/BFC3540%20S1_2018/Slave%20SS%20-%20No%20Code/W3SS_Slav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sheetName val="Set 1 - Task 1"/>
      <sheetName val="Set 2 - Task 1"/>
      <sheetName val="Set 3 - Task 1"/>
      <sheetName val="Set 1 - Task 2"/>
      <sheetName val="Set 2 - Task 2"/>
      <sheetName val="Set 3 - Task 2"/>
      <sheetName val="Set 1 - Task 3"/>
      <sheetName val="Set 2 - Task 3"/>
      <sheetName val="Set 3 - Task 3"/>
      <sheetName val="Set 1 - Task 4"/>
      <sheetName val="Set 2 - Task 4"/>
      <sheetName val="Set 3 - Task 4"/>
      <sheetName val="Task 5"/>
      <sheetName val="CustomVariables"/>
    </sheetNames>
    <sheetDataSet>
      <sheetData sheetId="0"/>
      <sheetData sheetId="1">
        <row r="5">
          <cell r="C5" t="str">
            <v>PLS</v>
          </cell>
        </row>
        <row r="6">
          <cell r="C6">
            <v>0.21205871888971681</v>
          </cell>
          <cell r="D6">
            <v>1.8182319083190547E-2</v>
          </cell>
        </row>
        <row r="7">
          <cell r="C7">
            <v>2.5158559636154931E-2</v>
          </cell>
          <cell r="D7">
            <v>-3.0490166757787276E-2</v>
          </cell>
        </row>
        <row r="8">
          <cell r="C8">
            <v>-7.0769070888207261E-2</v>
          </cell>
          <cell r="D8">
            <v>-1.2461220437812002E-2</v>
          </cell>
        </row>
        <row r="9">
          <cell r="C9">
            <v>3.9220713153281329E-2</v>
          </cell>
          <cell r="D9">
            <v>8.1247672272879781E-2</v>
          </cell>
        </row>
        <row r="10">
          <cell r="C10">
            <v>8.0042707673536356E-2</v>
          </cell>
          <cell r="D10">
            <v>4.2439183275156722E-2</v>
          </cell>
        </row>
        <row r="11">
          <cell r="C11">
            <v>0.1931112642153347</v>
          </cell>
          <cell r="D11">
            <v>-7.1766798369676685E-2</v>
          </cell>
        </row>
        <row r="12">
          <cell r="C12">
            <v>-0.10265415406008321</v>
          </cell>
          <cell r="D12">
            <v>-1.8018505502678365E-2</v>
          </cell>
        </row>
        <row r="13">
          <cell r="C13">
            <v>5.2643733485421881E-2</v>
          </cell>
          <cell r="D13">
            <v>3.5718082602079246E-2</v>
          </cell>
        </row>
        <row r="14">
          <cell r="C14">
            <v>5.4876610225834302E-2</v>
          </cell>
          <cell r="D14">
            <v>-6.3369613932589261E-2</v>
          </cell>
        </row>
        <row r="15">
          <cell r="C15">
            <v>-8.0852096629095024E-2</v>
          </cell>
          <cell r="D15">
            <v>3.1104224143925518E-3</v>
          </cell>
        </row>
      </sheetData>
      <sheetData sheetId="2">
        <row r="5">
          <cell r="C5" t="str">
            <v>AMP</v>
          </cell>
        </row>
        <row r="6">
          <cell r="C6">
            <v>-8.3160562416575053E-3</v>
          </cell>
          <cell r="D6">
            <v>-1.4750809758148253E-2</v>
          </cell>
        </row>
        <row r="7">
          <cell r="C7">
            <v>5.0875670660453405E-2</v>
          </cell>
          <cell r="D7">
            <v>1.8190194060057709E-2</v>
          </cell>
        </row>
        <row r="8">
          <cell r="C8">
            <v>7.9051795071132473E-3</v>
          </cell>
          <cell r="D8">
            <v>2.2072203355499215E-2</v>
          </cell>
        </row>
        <row r="9">
          <cell r="C9">
            <v>-2.390552085355448E-2</v>
          </cell>
          <cell r="D9">
            <v>8.3612527246834031E-3</v>
          </cell>
        </row>
        <row r="10">
          <cell r="C10">
            <v>1.798250255043227E-2</v>
          </cell>
          <cell r="D10">
            <v>-7.6994347269455921E-2</v>
          </cell>
        </row>
        <row r="11">
          <cell r="C11">
            <v>2.3484445233069327E-2</v>
          </cell>
          <cell r="D11">
            <v>-1.8001805041478545E-3</v>
          </cell>
        </row>
        <row r="12">
          <cell r="C12">
            <v>-7.7670293376596589E-3</v>
          </cell>
          <cell r="D12">
            <v>-9.0130695601277572E-4</v>
          </cell>
        </row>
        <row r="13">
          <cell r="C13">
            <v>0</v>
          </cell>
          <cell r="D13">
            <v>1.6100526689409138E-2</v>
          </cell>
        </row>
        <row r="14">
          <cell r="C14">
            <v>5.8309203107931437E-3</v>
          </cell>
          <cell r="D14">
            <v>5.1027065517894481E-2</v>
          </cell>
        </row>
        <row r="15">
          <cell r="C15">
            <v>1.347469858336019E-2</v>
          </cell>
          <cell r="D15">
            <v>-3.1694301708914976E-2</v>
          </cell>
        </row>
      </sheetData>
      <sheetData sheetId="3">
        <row r="5">
          <cell r="C5" t="str">
            <v>LLC</v>
          </cell>
        </row>
        <row r="6">
          <cell r="C6">
            <v>2.1529896524668985E-2</v>
          </cell>
          <cell r="D6">
            <v>-1.0230268250814922E-2</v>
          </cell>
        </row>
        <row r="7">
          <cell r="C7">
            <v>1.1403925146579941E-2</v>
          </cell>
          <cell r="D7">
            <v>1.2771565679487539E-2</v>
          </cell>
        </row>
        <row r="8">
          <cell r="C8">
            <v>-0.10045297094695781</v>
          </cell>
          <cell r="D8">
            <v>2.2585652648749288E-2</v>
          </cell>
        </row>
        <row r="9">
          <cell r="C9">
            <v>-4.1878613404747406E-3</v>
          </cell>
          <cell r="D9">
            <v>0</v>
          </cell>
        </row>
        <row r="10">
          <cell r="C10">
            <v>-1.8149379555740097E-2</v>
          </cell>
          <cell r="D10">
            <v>0</v>
          </cell>
        </row>
        <row r="11">
          <cell r="C11">
            <v>1.2136132332288337E-2</v>
          </cell>
          <cell r="D11">
            <v>3.8934357975454685E-2</v>
          </cell>
        </row>
        <row r="12">
          <cell r="C12">
            <v>-2.0719814973616985E-2</v>
          </cell>
          <cell r="D12">
            <v>-1.4423326961105052E-2</v>
          </cell>
        </row>
        <row r="13">
          <cell r="C13">
            <v>-1.176854746280483E-2</v>
          </cell>
          <cell r="D13">
            <v>1.4423326961105125E-2</v>
          </cell>
        </row>
        <row r="14">
          <cell r="C14">
            <v>-6.8771139086579759E-3</v>
          </cell>
          <cell r="D14">
            <v>9.5012591241402152E-3</v>
          </cell>
        </row>
        <row r="15">
          <cell r="C15">
            <v>9.9875986283484118E-3</v>
          </cell>
          <cell r="D15">
            <v>-2.3668650102662793E-3</v>
          </cell>
        </row>
      </sheetData>
      <sheetData sheetId="4"/>
      <sheetData sheetId="5"/>
      <sheetData sheetId="6"/>
      <sheetData sheetId="7">
        <row r="14">
          <cell r="C14">
            <v>0.5</v>
          </cell>
        </row>
        <row r="19">
          <cell r="C19">
            <v>0</v>
          </cell>
        </row>
      </sheetData>
      <sheetData sheetId="8">
        <row r="14">
          <cell r="C14">
            <v>0.5</v>
          </cell>
        </row>
        <row r="19">
          <cell r="C19">
            <v>0</v>
          </cell>
        </row>
      </sheetData>
      <sheetData sheetId="9">
        <row r="14">
          <cell r="C14">
            <v>0.5</v>
          </cell>
        </row>
        <row r="19">
          <cell r="C19">
            <v>0</v>
          </cell>
        </row>
      </sheetData>
      <sheetData sheetId="10"/>
      <sheetData sheetId="11"/>
      <sheetData sheetId="12"/>
      <sheetData sheetId="13"/>
      <sheetData sheetId="1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sheetName val="Columns, Average, StDev"/>
      <sheetName val="Count, ReDim, Transpose"/>
      <sheetName val="Matrix Multiplication"/>
      <sheetName val="CustomVariables"/>
    </sheetNames>
    <sheetDataSet>
      <sheetData sheetId="0"/>
      <sheetData sheetId="1">
        <row r="15">
          <cell r="B15" t="str">
            <v>PME</v>
          </cell>
          <cell r="C15" t="str">
            <v>RMD</v>
          </cell>
          <cell r="D15" t="str">
            <v>APX</v>
          </cell>
          <cell r="E15" t="str">
            <v>APT</v>
          </cell>
          <cell r="F15" t="str">
            <v>QBE</v>
          </cell>
          <cell r="G15" t="str">
            <v>ANZ</v>
          </cell>
        </row>
        <row r="16">
          <cell r="A16">
            <v>43541</v>
          </cell>
          <cell r="B16">
            <v>4.8790106097421147E-2</v>
          </cell>
          <cell r="C16">
            <v>7.7711447248867416E-3</v>
          </cell>
          <cell r="D16">
            <v>1.2022471987461279E-2</v>
          </cell>
          <cell r="E16">
            <v>4.8544271265997018E-3</v>
          </cell>
          <cell r="F16">
            <v>2.3952107259548501E-3</v>
          </cell>
          <cell r="G16">
            <v>6.4308903302903314E-3</v>
          </cell>
        </row>
        <row r="17">
          <cell r="A17">
            <v>43548</v>
          </cell>
          <cell r="B17">
            <v>-0.15144426015750448</v>
          </cell>
          <cell r="C17">
            <v>1.674847244943169E-2</v>
          </cell>
          <cell r="D17">
            <v>-5.032779257731862E-2</v>
          </cell>
          <cell r="E17">
            <v>1.4423374693800744E-2</v>
          </cell>
          <cell r="F17">
            <v>-1.8511595008412346E-2</v>
          </cell>
          <cell r="G17">
            <v>-1.8649407893977617E-2</v>
          </cell>
        </row>
        <row r="18">
          <cell r="A18">
            <v>43555</v>
          </cell>
          <cell r="B18">
            <v>6.8542319553220141E-2</v>
          </cell>
          <cell r="C18">
            <v>-3.0209532951997149E-2</v>
          </cell>
          <cell r="D18">
            <v>1.1602093034815922E-2</v>
          </cell>
          <cell r="E18">
            <v>0.1524444381983136</v>
          </cell>
          <cell r="F18">
            <v>-4.8860032056262086E-3</v>
          </cell>
          <cell r="G18">
            <v>-3.0781092761417118E-3</v>
          </cell>
        </row>
        <row r="19">
          <cell r="A19">
            <v>43562</v>
          </cell>
          <cell r="B19">
            <v>8.8114811094751569E-2</v>
          </cell>
          <cell r="C19">
            <v>1.1347639497537415E-2</v>
          </cell>
          <cell r="D19">
            <v>8.4197558090808991E-2</v>
          </cell>
          <cell r="E19">
            <v>3.6221223908625921E-2</v>
          </cell>
          <cell r="F19">
            <v>3.6076056473809591E-2</v>
          </cell>
          <cell r="G19">
            <v>2.6938249368167761E-3</v>
          </cell>
        </row>
        <row r="20">
          <cell r="A20">
            <v>43569</v>
          </cell>
          <cell r="B20">
            <v>-1.9248130534839897E-2</v>
          </cell>
          <cell r="C20">
            <v>-4.1762728361975164E-2</v>
          </cell>
          <cell r="D20">
            <v>-3.2327721886488733E-2</v>
          </cell>
          <cell r="E20">
            <v>-0.10360536375190714</v>
          </cell>
          <cell r="F20">
            <v>3.929278139889557E-3</v>
          </cell>
          <cell r="G20">
            <v>2.8789904519965884E-2</v>
          </cell>
        </row>
        <row r="21">
          <cell r="A21">
            <v>43576</v>
          </cell>
          <cell r="B21">
            <v>0.13117295261812101</v>
          </cell>
          <cell r="C21">
            <v>6.8894827465107111E-2</v>
          </cell>
          <cell r="D21">
            <v>5.0914115515909658E-2</v>
          </cell>
          <cell r="E21">
            <v>4.3326571471279197E-2</v>
          </cell>
          <cell r="F21">
            <v>1.9418085857101516E-2</v>
          </cell>
          <cell r="G21">
            <v>2.2887635789699295E-2</v>
          </cell>
        </row>
        <row r="22">
          <cell r="A22">
            <v>43583</v>
          </cell>
          <cell r="B22">
            <v>1.4868204813948033E-2</v>
          </cell>
          <cell r="C22">
            <v>0.10974348391255122</v>
          </cell>
          <cell r="D22">
            <v>2.021071369059237E-2</v>
          </cell>
          <cell r="E22">
            <v>0.14910016404118973</v>
          </cell>
          <cell r="F22">
            <v>6.1349885675159293E-3</v>
          </cell>
          <cell r="G22">
            <v>3.648969206700321E-4</v>
          </cell>
        </row>
        <row r="23">
          <cell r="A23">
            <v>43590</v>
          </cell>
          <cell r="B23">
            <v>-6.0847292916236737E-2</v>
          </cell>
          <cell r="C23">
            <v>-1.799614189274356E-2</v>
          </cell>
          <cell r="D23">
            <v>-6.608275980710647E-2</v>
          </cell>
          <cell r="E23">
            <v>-5.3484748786406078E-2</v>
          </cell>
          <cell r="F23">
            <v>-3.3427130855523408E-2</v>
          </cell>
          <cell r="G23">
            <v>3.2780943578311068E-3</v>
          </cell>
        </row>
        <row r="24">
          <cell r="A24">
            <v>43597</v>
          </cell>
          <cell r="B24">
            <v>7.5999148062151078E-2</v>
          </cell>
          <cell r="C24">
            <v>2.9613575774731581E-2</v>
          </cell>
          <cell r="D24">
            <v>5.4243671481893324E-2</v>
          </cell>
          <cell r="E24">
            <v>-2.3548627696420868E-2</v>
          </cell>
          <cell r="F24">
            <v>7.0894349704880054E-3</v>
          </cell>
          <cell r="G24">
            <v>-6.1875403718087411E-2</v>
          </cell>
        </row>
        <row r="25">
          <cell r="A25">
            <v>43604</v>
          </cell>
          <cell r="B25">
            <v>6.3127701909241413E-2</v>
          </cell>
          <cell r="C25">
            <v>-4.2645206267921103E-3</v>
          </cell>
          <cell r="D25">
            <v>-3.9777696844799908E-3</v>
          </cell>
          <cell r="E25">
            <v>-6.5372201886148673E-2</v>
          </cell>
          <cell r="F25">
            <v>-7.880261425305863E-3</v>
          </cell>
          <cell r="G25">
            <v>7.4163234511780682E-2</v>
          </cell>
        </row>
        <row r="45">
          <cell r="B45" t="str">
            <v>PME</v>
          </cell>
          <cell r="C45" t="str">
            <v>RMD</v>
          </cell>
          <cell r="D45" t="str">
            <v>APX</v>
          </cell>
          <cell r="E45" t="str">
            <v>APT</v>
          </cell>
          <cell r="F45" t="str">
            <v>QBE</v>
          </cell>
          <cell r="G45" t="str">
            <v>ANZ</v>
          </cell>
          <cell r="H45" t="str">
            <v>ALL ORDS</v>
          </cell>
        </row>
        <row r="46">
          <cell r="A46">
            <v>43534</v>
          </cell>
          <cell r="B46">
            <v>7.5619855561864457E-2</v>
          </cell>
          <cell r="C46">
            <v>-1.9663554908778136E-2</v>
          </cell>
          <cell r="D46">
            <v>-5.1358128138929253E-2</v>
          </cell>
          <cell r="E46">
            <v>4.5801934934508411E-2</v>
          </cell>
          <cell r="F46">
            <v>1.2872261404833558E-2</v>
          </cell>
          <cell r="G46">
            <v>-2.880322495797899E-2</v>
          </cell>
          <cell r="H46">
            <v>-3.5053651445497353E-3</v>
          </cell>
        </row>
        <row r="47">
          <cell r="A47">
            <v>43541</v>
          </cell>
          <cell r="B47">
            <v>4.8790106097421147E-2</v>
          </cell>
          <cell r="C47">
            <v>7.7711447248867416E-3</v>
          </cell>
          <cell r="D47">
            <v>1.2022471987461279E-2</v>
          </cell>
          <cell r="E47">
            <v>4.8544271265997018E-3</v>
          </cell>
          <cell r="F47">
            <v>2.3952107259548501E-3</v>
          </cell>
          <cell r="G47">
            <v>6.4308903302903314E-3</v>
          </cell>
          <cell r="H47">
            <v>2.518701156167486E-3</v>
          </cell>
        </row>
        <row r="48">
          <cell r="A48">
            <v>43548</v>
          </cell>
          <cell r="B48">
            <v>-0.15144426015750448</v>
          </cell>
          <cell r="C48">
            <v>1.674847244943169E-2</v>
          </cell>
          <cell r="D48">
            <v>-5.032779257731862E-2</v>
          </cell>
          <cell r="E48">
            <v>1.4423374693800744E-2</v>
          </cell>
          <cell r="F48">
            <v>-1.8511595008412346E-2</v>
          </cell>
          <cell r="G48">
            <v>-1.8649407893977617E-2</v>
          </cell>
          <cell r="H48">
            <v>-3.061521829277815E-3</v>
          </cell>
        </row>
        <row r="49">
          <cell r="A49">
            <v>43555</v>
          </cell>
          <cell r="B49">
            <v>6.8542319553220141E-2</v>
          </cell>
          <cell r="C49">
            <v>-3.0209532951997149E-2</v>
          </cell>
          <cell r="D49">
            <v>1.1602093034815922E-2</v>
          </cell>
          <cell r="E49">
            <v>0.1524444381983136</v>
          </cell>
          <cell r="F49">
            <v>-4.8860032056262086E-3</v>
          </cell>
          <cell r="G49">
            <v>-3.0781092761417118E-3</v>
          </cell>
          <cell r="H49">
            <v>1.4203145931819209E-3</v>
          </cell>
        </row>
        <row r="50">
          <cell r="A50">
            <v>43562</v>
          </cell>
          <cell r="B50">
            <v>8.8114811094751569E-2</v>
          </cell>
          <cell r="C50">
            <v>1.1347639497537415E-2</v>
          </cell>
          <cell r="D50">
            <v>8.4197558090808991E-2</v>
          </cell>
          <cell r="E50">
            <v>3.6221223908625921E-2</v>
          </cell>
          <cell r="F50">
            <v>3.6076056473809591E-2</v>
          </cell>
          <cell r="G50">
            <v>2.6938249368167761E-3</v>
          </cell>
          <cell r="H50">
            <v>1.211020084946883E-2</v>
          </cell>
        </row>
        <row r="51">
          <cell r="A51">
            <v>43569</v>
          </cell>
          <cell r="B51">
            <v>-1.9248130534839897E-2</v>
          </cell>
          <cell r="C51">
            <v>-4.1762728361975164E-2</v>
          </cell>
          <cell r="D51">
            <v>-3.2327721886488733E-2</v>
          </cell>
          <cell r="E51">
            <v>-0.10360536375190714</v>
          </cell>
          <cell r="F51">
            <v>3.929278139889557E-3</v>
          </cell>
          <cell r="G51">
            <v>2.8789904519965884E-2</v>
          </cell>
          <cell r="H51">
            <v>4.5678899145560356E-4</v>
          </cell>
        </row>
        <row r="52">
          <cell r="A52">
            <v>43576</v>
          </cell>
          <cell r="B52">
            <v>0.13117295261812101</v>
          </cell>
          <cell r="C52">
            <v>6.8894827465107111E-2</v>
          </cell>
          <cell r="D52">
            <v>5.0914115515909658E-2</v>
          </cell>
          <cell r="E52">
            <v>4.3326571471279197E-2</v>
          </cell>
          <cell r="F52">
            <v>1.9418085857101516E-2</v>
          </cell>
          <cell r="G52">
            <v>2.2887635789699295E-2</v>
          </cell>
          <cell r="H52">
            <v>1.9231557469008745E-2</v>
          </cell>
        </row>
        <row r="53">
          <cell r="A53">
            <v>43583</v>
          </cell>
          <cell r="B53">
            <v>1.4868204813948033E-2</v>
          </cell>
          <cell r="C53">
            <v>0.10974348391255122</v>
          </cell>
          <cell r="D53">
            <v>2.021071369059237E-2</v>
          </cell>
          <cell r="E53">
            <v>0.14910016404118973</v>
          </cell>
          <cell r="F53">
            <v>6.1349885675159293E-3</v>
          </cell>
          <cell r="G53">
            <v>3.648969206700321E-4</v>
          </cell>
          <cell r="H53">
            <v>-7.1315918221112164E-3</v>
          </cell>
        </row>
        <row r="54">
          <cell r="A54">
            <v>43590</v>
          </cell>
          <cell r="B54">
            <v>-6.0847292916236737E-2</v>
          </cell>
          <cell r="C54">
            <v>-1.799614189274356E-2</v>
          </cell>
          <cell r="D54">
            <v>-6.608275980710647E-2</v>
          </cell>
          <cell r="E54">
            <v>-5.3484748786406078E-2</v>
          </cell>
          <cell r="F54">
            <v>-3.3427130855523408E-2</v>
          </cell>
          <cell r="G54">
            <v>3.2780943578311068E-3</v>
          </cell>
          <cell r="H54">
            <v>-5.3197158628501247E-3</v>
          </cell>
        </row>
        <row r="55">
          <cell r="A55">
            <v>43597</v>
          </cell>
          <cell r="B55">
            <v>7.5999148062151078E-2</v>
          </cell>
          <cell r="C55">
            <v>2.9613575774731581E-2</v>
          </cell>
          <cell r="D55">
            <v>5.4243671481893324E-2</v>
          </cell>
          <cell r="E55">
            <v>-2.3548627696420868E-2</v>
          </cell>
          <cell r="F55">
            <v>7.0894349704880054E-3</v>
          </cell>
          <cell r="G55">
            <v>-6.1875403718087411E-2</v>
          </cell>
          <cell r="H55">
            <v>1.0441008152576824E-2</v>
          </cell>
        </row>
        <row r="56">
          <cell r="A56">
            <v>43604</v>
          </cell>
          <cell r="B56">
            <v>6.3127701909241413E-2</v>
          </cell>
          <cell r="C56">
            <v>-4.2645206267921103E-3</v>
          </cell>
          <cell r="D56">
            <v>-3.9777696844799908E-3</v>
          </cell>
          <cell r="E56">
            <v>-6.5372201886148673E-2</v>
          </cell>
          <cell r="F56">
            <v>-7.880261425305863E-3</v>
          </cell>
          <cell r="G56">
            <v>7.4163234511780682E-2</v>
          </cell>
          <cell r="H56">
            <v>1.3132775912473593E-2</v>
          </cell>
        </row>
      </sheetData>
      <sheetData sheetId="2"/>
      <sheetData sheetId="3"/>
      <sheetData sheetId="4"/>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
      <sheetName val="VarCov"/>
      <sheetName val="CustomVariables"/>
    </sheetNames>
    <sheetDataSet>
      <sheetData sheetId="0"/>
      <sheetData sheetId="1">
        <row r="5">
          <cell r="C5" t="str">
            <v>PLS</v>
          </cell>
          <cell r="D5" t="str">
            <v>S32</v>
          </cell>
          <cell r="E5" t="str">
            <v>AMP</v>
          </cell>
          <cell r="F5" t="str">
            <v>BEN</v>
          </cell>
          <cell r="G5" t="str">
            <v>LLC</v>
          </cell>
          <cell r="H5" t="str">
            <v>SCG</v>
          </cell>
        </row>
      </sheetData>
      <sheetData sheetId="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F3"/>
  <sheetViews>
    <sheetView zoomScale="50" zoomScaleNormal="50" workbookViewId="0">
      <selection activeCell="B4" sqref="B4"/>
    </sheetView>
  </sheetViews>
  <sheetFormatPr baseColWidth="10" defaultColWidth="8.83203125" defaultRowHeight="15" x14ac:dyDescent="0.2"/>
  <cols>
    <col min="1" max="1" width="10.5" bestFit="1" customWidth="1"/>
  </cols>
  <sheetData>
    <row r="1" spans="1:6" ht="16" x14ac:dyDescent="0.2">
      <c r="A1" s="18" t="s">
        <v>27</v>
      </c>
      <c r="B1" s="18" t="s">
        <v>71</v>
      </c>
      <c r="C1" s="18"/>
      <c r="D1" s="18"/>
      <c r="E1" s="18"/>
      <c r="F1" s="18"/>
    </row>
    <row r="2" spans="1:6" ht="16" x14ac:dyDescent="0.2">
      <c r="A2" s="18" t="s">
        <v>49</v>
      </c>
      <c r="B2" s="20" t="s">
        <v>72</v>
      </c>
      <c r="C2" s="18"/>
      <c r="D2" s="18"/>
      <c r="E2" s="18"/>
      <c r="F2" s="18"/>
    </row>
    <row r="3" spans="1:6" x14ac:dyDescent="0.2">
      <c r="A3" t="s">
        <v>54</v>
      </c>
      <c r="B3" t="s">
        <v>57</v>
      </c>
    </row>
  </sheetData>
  <sheetProtection algorithmName="SHA-512" hashValue="KVp/l6Sf5oLFXrq7b873aSR1ZSQh0FINDmop9nBBwcs321NlqaL/0PU8yUOzCCC8Ky2LGYLJUt1QggpJmoctjw==" saltValue="+pYDMR3I7z+4BCHz0hILoQ==" spinCount="100000"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E20:S69"/>
  <sheetViews>
    <sheetView topLeftCell="A37" zoomScale="136" zoomScaleNormal="50" workbookViewId="0">
      <selection activeCell="D59" sqref="D59"/>
    </sheetView>
  </sheetViews>
  <sheetFormatPr baseColWidth="10" defaultColWidth="8.83203125" defaultRowHeight="15" x14ac:dyDescent="0.2"/>
  <cols>
    <col min="5" max="5" width="10.33203125" customWidth="1"/>
  </cols>
  <sheetData>
    <row r="20" spans="5:19" ht="24" x14ac:dyDescent="0.3">
      <c r="E20" s="19" t="s">
        <v>28</v>
      </c>
    </row>
    <row r="22" spans="5:19" s="22" customFormat="1" ht="31" x14ac:dyDescent="0.35">
      <c r="E22" s="21" t="s">
        <v>33</v>
      </c>
    </row>
    <row r="24" spans="5:19" x14ac:dyDescent="0.2">
      <c r="E24" s="23" t="s">
        <v>34</v>
      </c>
    </row>
    <row r="25" spans="5:19" x14ac:dyDescent="0.2">
      <c r="E25" s="1" t="s">
        <v>35</v>
      </c>
    </row>
    <row r="27" spans="5:19" x14ac:dyDescent="0.2">
      <c r="Q27" s="2" t="s">
        <v>0</v>
      </c>
      <c r="R27" s="35"/>
    </row>
    <row r="28" spans="5:19" x14ac:dyDescent="0.2">
      <c r="Q28" s="2" t="s">
        <v>1</v>
      </c>
      <c r="R28" s="35"/>
    </row>
    <row r="29" spans="5:19" x14ac:dyDescent="0.2">
      <c r="Q29" s="2" t="s">
        <v>2</v>
      </c>
      <c r="R29" s="35"/>
    </row>
    <row r="31" spans="5:19" x14ac:dyDescent="0.2">
      <c r="Q31" s="2" t="s">
        <v>3</v>
      </c>
      <c r="R31" s="2" t="s">
        <v>4</v>
      </c>
      <c r="S31" s="2" t="s">
        <v>5</v>
      </c>
    </row>
    <row r="32" spans="5:19" x14ac:dyDescent="0.2">
      <c r="Q32" s="3"/>
      <c r="R32" s="3"/>
      <c r="S32" s="3"/>
    </row>
    <row r="34" spans="5:11" x14ac:dyDescent="0.2">
      <c r="E34" s="23" t="s">
        <v>31</v>
      </c>
    </row>
    <row r="35" spans="5:11" x14ac:dyDescent="0.2">
      <c r="E35" s="1" t="s">
        <v>50</v>
      </c>
    </row>
    <row r="36" spans="5:11" x14ac:dyDescent="0.2">
      <c r="E36" s="1" t="s">
        <v>32</v>
      </c>
    </row>
    <row r="37" spans="5:11" x14ac:dyDescent="0.2">
      <c r="E37" s="1"/>
    </row>
    <row r="38" spans="5:11" x14ac:dyDescent="0.2">
      <c r="F38" s="4" t="s">
        <v>47</v>
      </c>
      <c r="G38" s="5"/>
      <c r="H38" s="5"/>
      <c r="I38" s="5"/>
      <c r="J38" s="5"/>
      <c r="K38" s="5"/>
    </row>
    <row r="39" spans="5:11" x14ac:dyDescent="0.2">
      <c r="E39" s="10"/>
      <c r="F39" s="6" t="s">
        <v>58</v>
      </c>
      <c r="G39" s="6" t="s">
        <v>59</v>
      </c>
      <c r="H39" s="6" t="s">
        <v>60</v>
      </c>
      <c r="I39" s="6" t="s">
        <v>61</v>
      </c>
      <c r="J39" s="6" t="s">
        <v>62</v>
      </c>
      <c r="K39" s="6" t="s">
        <v>63</v>
      </c>
    </row>
    <row r="40" spans="5:11" x14ac:dyDescent="0.2">
      <c r="E40" s="39">
        <v>45019</v>
      </c>
      <c r="F40" s="7">
        <v>-2.5105921131076358E-2</v>
      </c>
      <c r="G40" s="7">
        <v>6.3794196577713888E-2</v>
      </c>
      <c r="H40" s="7">
        <v>5.6497325421191276E-3</v>
      </c>
      <c r="I40" s="7">
        <v>9.3023926623136306E-3</v>
      </c>
      <c r="J40" s="7">
        <v>3.9220713153281329E-2</v>
      </c>
      <c r="K40" s="7">
        <v>-8.7472950965052865E-2</v>
      </c>
    </row>
    <row r="41" spans="5:11" x14ac:dyDescent="0.2">
      <c r="E41" s="39">
        <v>45026</v>
      </c>
      <c r="F41" s="7">
        <v>3.3336420267591926E-2</v>
      </c>
      <c r="G41" s="7">
        <v>9.6332719771033033E-3</v>
      </c>
      <c r="H41" s="7">
        <v>-5.6497325421190209E-3</v>
      </c>
      <c r="I41" s="7">
        <v>4.5256591588120648E-2</v>
      </c>
      <c r="J41" s="7">
        <v>-1.9418085857101627E-2</v>
      </c>
      <c r="K41" s="7">
        <v>3.8048067637529964E-2</v>
      </c>
    </row>
    <row r="42" spans="5:11" x14ac:dyDescent="0.2">
      <c r="E42" s="39">
        <v>45033</v>
      </c>
      <c r="F42" s="7">
        <v>2.4292692569044483E-2</v>
      </c>
      <c r="G42" s="7">
        <v>-2.0865138463961787E-2</v>
      </c>
      <c r="H42" s="7">
        <v>4.9734005674138382E-2</v>
      </c>
      <c r="I42" s="7">
        <v>-3.6039936483196693E-2</v>
      </c>
      <c r="J42" s="7">
        <v>-4.0005334613699248E-2</v>
      </c>
      <c r="K42" s="7">
        <v>6.9526062648610096E-2</v>
      </c>
    </row>
    <row r="43" spans="5:11" x14ac:dyDescent="0.2">
      <c r="E43" s="39">
        <v>45040</v>
      </c>
      <c r="F43" s="7">
        <v>-2.4292692569044587E-2</v>
      </c>
      <c r="G43" s="7">
        <v>-1.5939616412157187E-2</v>
      </c>
      <c r="H43" s="7">
        <v>-4.9734005674138444E-2</v>
      </c>
      <c r="I43" s="7">
        <v>5.7922647732704509E-2</v>
      </c>
      <c r="J43" s="7">
        <v>2.0202707317519469E-2</v>
      </c>
      <c r="K43" s="7">
        <v>5.3281366612936781E-2</v>
      </c>
    </row>
    <row r="44" spans="5:11" x14ac:dyDescent="0.2">
      <c r="E44" s="39">
        <v>45047</v>
      </c>
      <c r="F44" s="7">
        <v>-3.3336420267591836E-2</v>
      </c>
      <c r="G44" s="7">
        <v>7.6564238228592013E-2</v>
      </c>
      <c r="H44" s="7">
        <v>5.6497325421191276E-3</v>
      </c>
      <c r="I44" s="7">
        <v>4.3196611445163796E-3</v>
      </c>
      <c r="J44" s="7">
        <v>-0.12783337150988489</v>
      </c>
      <c r="K44" s="7">
        <v>3.7041271680349076E-2</v>
      </c>
    </row>
    <row r="45" spans="5:11" x14ac:dyDescent="0.2">
      <c r="E45" s="39">
        <v>45054</v>
      </c>
      <c r="F45" s="7">
        <v>-2.575249610241474E-2</v>
      </c>
      <c r="G45" s="7">
        <v>9.1711401191070831E-3</v>
      </c>
      <c r="H45" s="7">
        <v>-1.4184634991956413E-2</v>
      </c>
      <c r="I45" s="7">
        <v>4.3010818993907017E-3</v>
      </c>
      <c r="J45" s="7">
        <v>0</v>
      </c>
      <c r="K45" s="7">
        <v>8.2836005579149177E-2</v>
      </c>
    </row>
    <row r="46" spans="5:11" x14ac:dyDescent="0.2">
      <c r="E46" s="39">
        <v>45061</v>
      </c>
      <c r="F46" s="7">
        <v>-3.0907537463076548E-2</v>
      </c>
      <c r="G46" s="7">
        <v>2.9749686171060698E-2</v>
      </c>
      <c r="H46" s="7">
        <v>1.1363758650315003E-2</v>
      </c>
      <c r="I46" s="7">
        <v>0</v>
      </c>
      <c r="J46" s="7">
        <v>-4.6520015634892928E-2</v>
      </c>
      <c r="K46" s="7">
        <v>4.2995363260062668E-2</v>
      </c>
    </row>
    <row r="47" spans="5:11" x14ac:dyDescent="0.2">
      <c r="E47" s="39">
        <v>45068</v>
      </c>
      <c r="F47" s="7">
        <v>-4.1195756438267166E-2</v>
      </c>
      <c r="G47" s="7">
        <v>-3.2562627547675388E-2</v>
      </c>
      <c r="H47" s="7">
        <v>-8.8553397341445059E-2</v>
      </c>
      <c r="I47" s="7">
        <v>-2.1692824611259896E-2</v>
      </c>
      <c r="J47" s="7">
        <v>4.6520015634892907E-2</v>
      </c>
      <c r="K47" s="7">
        <v>-9.4508897710170653E-2</v>
      </c>
    </row>
    <row r="48" spans="5:11" x14ac:dyDescent="0.2">
      <c r="E48" s="39">
        <v>45075</v>
      </c>
      <c r="F48" s="7">
        <v>-2.3641763057040653E-2</v>
      </c>
      <c r="G48" s="7">
        <v>5.4141347507291326E-2</v>
      </c>
      <c r="H48" s="7">
        <v>3.0816665374081144E-3</v>
      </c>
      <c r="I48" s="7">
        <v>8.7336799687546315E-3</v>
      </c>
      <c r="J48" s="7">
        <v>0</v>
      </c>
      <c r="K48" s="7">
        <v>-1.5538603427779161E-2</v>
      </c>
    </row>
    <row r="49" spans="5:11" x14ac:dyDescent="0.2">
      <c r="E49" s="39">
        <v>45082</v>
      </c>
      <c r="F49" s="7">
        <v>-2.9128272923023713E-2</v>
      </c>
      <c r="G49" s="7">
        <v>-1.9535818329815782E-2</v>
      </c>
      <c r="H49" s="7">
        <v>2.7315810646962924E-2</v>
      </c>
      <c r="I49" s="7">
        <v>-8.7336799687546662E-3</v>
      </c>
      <c r="J49" s="7">
        <v>-0.2876820724517809</v>
      </c>
      <c r="K49" s="7">
        <v>6.0756209421072432E-2</v>
      </c>
    </row>
    <row r="50" spans="5:11" x14ac:dyDescent="0.2">
      <c r="E50" s="9"/>
      <c r="F50" s="7"/>
      <c r="G50" s="7"/>
      <c r="H50" s="7"/>
      <c r="I50" s="7"/>
      <c r="J50" s="7"/>
      <c r="K50" s="7"/>
    </row>
    <row r="51" spans="5:11" x14ac:dyDescent="0.2">
      <c r="E51" s="9"/>
      <c r="F51" s="7"/>
      <c r="G51" s="7" t="str">
        <f t="array" ref="G51:G56">TRANSPOSE(F39:K39)</f>
        <v>XASX:GEM</v>
      </c>
      <c r="H51" s="8" t="s">
        <v>64</v>
      </c>
      <c r="I51" s="7"/>
      <c r="J51" s="7"/>
      <c r="K51" s="7"/>
    </row>
    <row r="52" spans="5:11" x14ac:dyDescent="0.2">
      <c r="E52" s="9"/>
      <c r="F52" s="7"/>
      <c r="G52" s="7" t="str">
        <v>XASX:JIN</v>
      </c>
      <c r="H52" s="8" t="s">
        <v>65</v>
      </c>
      <c r="I52" s="7"/>
      <c r="J52" s="7"/>
      <c r="K52" s="7"/>
    </row>
    <row r="53" spans="5:11" x14ac:dyDescent="0.2">
      <c r="E53" s="9"/>
      <c r="F53" s="7"/>
      <c r="G53" s="7" t="str">
        <v>XASX:ACL</v>
      </c>
      <c r="H53" s="40" t="s">
        <v>66</v>
      </c>
      <c r="I53" s="7"/>
      <c r="J53" s="7"/>
      <c r="K53" s="7"/>
    </row>
    <row r="54" spans="5:11" x14ac:dyDescent="0.2">
      <c r="E54" s="9"/>
      <c r="F54" s="7"/>
      <c r="G54" s="7" t="str">
        <v>XASX:MVF</v>
      </c>
      <c r="H54" s="8" t="s">
        <v>67</v>
      </c>
      <c r="I54" s="7"/>
      <c r="J54" s="7"/>
      <c r="K54" s="7"/>
    </row>
    <row r="55" spans="5:11" x14ac:dyDescent="0.2">
      <c r="E55" s="9"/>
      <c r="F55" s="7"/>
      <c r="G55" s="7" t="str">
        <v>XASX:BCB</v>
      </c>
      <c r="H55" s="8" t="s">
        <v>68</v>
      </c>
      <c r="I55" s="7"/>
      <c r="J55" s="7"/>
      <c r="K55" s="7"/>
    </row>
    <row r="56" spans="5:11" x14ac:dyDescent="0.2">
      <c r="E56" s="9"/>
      <c r="F56" s="7"/>
      <c r="G56" s="7" t="str">
        <v>XASX:PLS</v>
      </c>
      <c r="H56" s="8" t="s">
        <v>69</v>
      </c>
      <c r="I56" s="7"/>
      <c r="J56" s="7"/>
      <c r="K56" s="7"/>
    </row>
    <row r="58" spans="5:11" x14ac:dyDescent="0.2">
      <c r="F58" s="4" t="s">
        <v>47</v>
      </c>
      <c r="G58" s="5"/>
      <c r="H58" s="5"/>
      <c r="I58" s="5"/>
      <c r="J58" s="5"/>
      <c r="K58" s="5"/>
    </row>
    <row r="59" spans="5:11" x14ac:dyDescent="0.2">
      <c r="E59" s="10"/>
      <c r="F59" s="6" t="str">
        <f t="shared" ref="F59:K59" si="0">F39</f>
        <v>XASX:GEM</v>
      </c>
      <c r="G59" s="6" t="str">
        <f t="shared" si="0"/>
        <v>XASX:JIN</v>
      </c>
      <c r="H59" s="6" t="str">
        <f t="shared" si="0"/>
        <v>XASX:ACL</v>
      </c>
      <c r="I59" s="6" t="str">
        <f t="shared" si="0"/>
        <v>XASX:MVF</v>
      </c>
      <c r="J59" s="6" t="str">
        <f t="shared" si="0"/>
        <v>XASX:BCB</v>
      </c>
      <c r="K59" s="6" t="str">
        <f t="shared" si="0"/>
        <v>XASX:PLS</v>
      </c>
    </row>
    <row r="60" spans="5:11" x14ac:dyDescent="0.2">
      <c r="E60" s="39">
        <f t="shared" ref="E60:E69" si="1">E40</f>
        <v>45019</v>
      </c>
      <c r="F60" s="11">
        <v>-2.5105921131076358E-2</v>
      </c>
      <c r="G60" s="11" t="s">
        <v>73</v>
      </c>
      <c r="H60" s="11">
        <v>5.6497325421191276E-3</v>
      </c>
      <c r="I60" s="11">
        <v>9.3023926623136306E-3</v>
      </c>
      <c r="J60" s="11">
        <v>3.9220713153281329E-2</v>
      </c>
      <c r="K60" s="11">
        <v>-8.7472950965052865E-2</v>
      </c>
    </row>
    <row r="61" spans="5:11" x14ac:dyDescent="0.2">
      <c r="E61" s="39">
        <f t="shared" si="1"/>
        <v>45026</v>
      </c>
      <c r="F61" s="11">
        <v>3.3336420267591926E-2</v>
      </c>
      <c r="G61" s="11">
        <v>9.6332719771033033E-3</v>
      </c>
      <c r="H61" s="11">
        <v>-5.6497325421190209E-3</v>
      </c>
      <c r="I61" s="11">
        <v>4.5256591588120648E-2</v>
      </c>
      <c r="J61" s="11">
        <v>-1.9418085857101627E-2</v>
      </c>
      <c r="K61" s="11">
        <v>3.8048067637529964E-2</v>
      </c>
    </row>
    <row r="62" spans="5:11" x14ac:dyDescent="0.2">
      <c r="E62" s="39">
        <f t="shared" si="1"/>
        <v>45033</v>
      </c>
      <c r="F62" s="11">
        <v>2.4292692569044483E-2</v>
      </c>
      <c r="G62" s="11">
        <v>-2.0865138463961787E-2</v>
      </c>
      <c r="H62" s="11">
        <v>4.9734005674138382E-2</v>
      </c>
      <c r="I62" s="11">
        <v>-3.6039936483196693E-2</v>
      </c>
      <c r="J62" s="11">
        <v>-4.0005334613699248E-2</v>
      </c>
      <c r="K62" s="11" t="s">
        <v>73</v>
      </c>
    </row>
    <row r="63" spans="5:11" x14ac:dyDescent="0.2">
      <c r="E63" s="39">
        <f t="shared" si="1"/>
        <v>45040</v>
      </c>
      <c r="F63" s="11">
        <v>-2.4292692569044587E-2</v>
      </c>
      <c r="G63" s="11">
        <v>-1.5939616412157187E-2</v>
      </c>
      <c r="H63" s="11">
        <v>-4.9734005674138444E-2</v>
      </c>
      <c r="I63" s="11" t="s">
        <v>73</v>
      </c>
      <c r="J63" s="11">
        <v>2.0202707317519469E-2</v>
      </c>
      <c r="K63" s="11" t="s">
        <v>73</v>
      </c>
    </row>
    <row r="64" spans="5:11" x14ac:dyDescent="0.2">
      <c r="E64" s="39">
        <f t="shared" si="1"/>
        <v>45047</v>
      </c>
      <c r="F64" s="11">
        <v>-3.3336420267591836E-2</v>
      </c>
      <c r="G64" s="11" t="s">
        <v>73</v>
      </c>
      <c r="H64" s="11">
        <v>5.6497325421191276E-3</v>
      </c>
      <c r="I64" s="11">
        <v>4.3196611445163796E-3</v>
      </c>
      <c r="J64" s="11">
        <v>-0.12783337150988489</v>
      </c>
      <c r="K64" s="11">
        <v>3.7041271680349076E-2</v>
      </c>
    </row>
    <row r="65" spans="5:11" x14ac:dyDescent="0.2">
      <c r="E65" s="39">
        <f t="shared" si="1"/>
        <v>45054</v>
      </c>
      <c r="F65" s="11">
        <v>-2.575249610241474E-2</v>
      </c>
      <c r="G65" s="11">
        <v>9.1711401191070831E-3</v>
      </c>
      <c r="H65" s="11">
        <v>-1.4184634991956413E-2</v>
      </c>
      <c r="I65" s="11">
        <v>4.3010818993907017E-3</v>
      </c>
      <c r="J65" s="11">
        <v>0</v>
      </c>
      <c r="K65" s="11" t="s">
        <v>73</v>
      </c>
    </row>
    <row r="66" spans="5:11" x14ac:dyDescent="0.2">
      <c r="E66" s="39">
        <f t="shared" si="1"/>
        <v>45061</v>
      </c>
      <c r="F66" s="11">
        <v>-3.0907537463076548E-2</v>
      </c>
      <c r="G66" s="11">
        <v>2.9749686171060698E-2</v>
      </c>
      <c r="H66" s="11">
        <v>1.1363758650315003E-2</v>
      </c>
      <c r="I66" s="11">
        <v>0</v>
      </c>
      <c r="J66" s="11">
        <v>-4.6520015634892928E-2</v>
      </c>
      <c r="K66" s="11">
        <v>4.2995363260062668E-2</v>
      </c>
    </row>
    <row r="67" spans="5:11" x14ac:dyDescent="0.2">
      <c r="E67" s="39">
        <f t="shared" si="1"/>
        <v>45068</v>
      </c>
      <c r="F67" s="11">
        <v>-4.1195756438267166E-2</v>
      </c>
      <c r="G67" s="11">
        <v>-3.2562627547675388E-2</v>
      </c>
      <c r="H67" s="11">
        <v>-8.8553397341445059E-2</v>
      </c>
      <c r="I67" s="11">
        <v>-2.1692824611259896E-2</v>
      </c>
      <c r="J67" s="11">
        <v>4.6520015634892907E-2</v>
      </c>
      <c r="K67" s="11">
        <v>-9.4508897710170653E-2</v>
      </c>
    </row>
    <row r="68" spans="5:11" x14ac:dyDescent="0.2">
      <c r="E68" s="39">
        <f t="shared" si="1"/>
        <v>45075</v>
      </c>
      <c r="F68" s="11">
        <v>-2.3641763057040653E-2</v>
      </c>
      <c r="G68" s="11" t="s">
        <v>73</v>
      </c>
      <c r="H68" s="11">
        <v>3.0816665374081144E-3</v>
      </c>
      <c r="I68" s="11">
        <v>8.7336799687546315E-3</v>
      </c>
      <c r="J68" s="11">
        <v>0</v>
      </c>
      <c r="K68" s="11">
        <v>-1.5538603427779161E-2</v>
      </c>
    </row>
    <row r="69" spans="5:11" x14ac:dyDescent="0.2">
      <c r="E69" s="39">
        <f t="shared" si="1"/>
        <v>45082</v>
      </c>
      <c r="F69" s="11">
        <v>-2.9128272923023713E-2</v>
      </c>
      <c r="G69" s="11">
        <v>-1.9535818329815782E-2</v>
      </c>
      <c r="H69" s="11">
        <v>2.7315810646962924E-2</v>
      </c>
      <c r="I69" s="11">
        <v>-8.7336799687546662E-3</v>
      </c>
      <c r="J69" s="11">
        <v>-0.2876820724517809</v>
      </c>
      <c r="K69" s="11" t="s">
        <v>73</v>
      </c>
    </row>
  </sheetData>
  <sheetProtection algorithmName="SHA-512" hashValue="KKDGgz0CUq8EyvHu1swf/oW8vuembODtPwMTMlNeBFTiYWGcHqP+FENBhaL5t+QFnIAQwbIBpKl+YimQMNxtkg==" saltValue="SgypNLMzLvfeRTeBmrYW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M8:S61"/>
  <sheetViews>
    <sheetView topLeftCell="G31" zoomScale="125" zoomScaleNormal="50" workbookViewId="0">
      <selection activeCell="G54" sqref="A54:XFD54"/>
    </sheetView>
  </sheetViews>
  <sheetFormatPr baseColWidth="10" defaultColWidth="8.83203125" defaultRowHeight="15" x14ac:dyDescent="0.2"/>
  <cols>
    <col min="13" max="13" width="10.1640625" bestFit="1" customWidth="1"/>
    <col min="14" max="14" width="11.6640625" customWidth="1"/>
    <col min="15" max="15" width="12" customWidth="1"/>
    <col min="16" max="17" width="10.83203125" customWidth="1"/>
    <col min="18" max="18" width="11.83203125" customWidth="1"/>
    <col min="19" max="19" width="11.5" customWidth="1"/>
  </cols>
  <sheetData>
    <row r="8" spans="13:19" ht="24" x14ac:dyDescent="0.3">
      <c r="M8" s="19" t="s">
        <v>29</v>
      </c>
    </row>
    <row r="10" spans="13:19" x14ac:dyDescent="0.2">
      <c r="N10" s="4" t="str">
        <f>'IF Statements 1'!F38</f>
        <v>Weekly returns for six stocks</v>
      </c>
      <c r="O10" s="5"/>
      <c r="P10" s="5"/>
      <c r="Q10" s="5"/>
      <c r="R10" s="5"/>
      <c r="S10" s="5"/>
    </row>
    <row r="11" spans="13:19" x14ac:dyDescent="0.2">
      <c r="M11" s="10"/>
      <c r="N11" s="6" t="str">
        <f t="array" ref="N11:S21">Stock_Data</f>
        <v>XASX:GEM</v>
      </c>
      <c r="O11" s="6" t="str">
        <v>XASX:JIN</v>
      </c>
      <c r="P11" s="6" t="str">
        <v>XASX:ACL</v>
      </c>
      <c r="Q11" s="6" t="str">
        <v>XASX:MVF</v>
      </c>
      <c r="R11" s="6" t="str">
        <v>XASX:BCB</v>
      </c>
      <c r="S11" s="6" t="str">
        <v>XASX:PLS</v>
      </c>
    </row>
    <row r="12" spans="13:19" x14ac:dyDescent="0.2">
      <c r="M12" s="39">
        <f t="array" ref="M12:M21">Stock_Date</f>
        <v>45019</v>
      </c>
      <c r="N12" s="7">
        <v>-2.5105921131076358E-2</v>
      </c>
      <c r="O12" s="7">
        <v>6.3794196577713888E-2</v>
      </c>
      <c r="P12" s="7">
        <v>5.6497325421191276E-3</v>
      </c>
      <c r="Q12" s="7">
        <v>9.3023926623136306E-3</v>
      </c>
      <c r="R12" s="7">
        <v>3.9220713153281329E-2</v>
      </c>
      <c r="S12" s="7">
        <v>-8.7472950965052865E-2</v>
      </c>
    </row>
    <row r="13" spans="13:19" x14ac:dyDescent="0.2">
      <c r="M13" s="39">
        <v>45026</v>
      </c>
      <c r="N13" s="7">
        <v>3.3336420267591926E-2</v>
      </c>
      <c r="O13" s="7">
        <v>9.6332719771033033E-3</v>
      </c>
      <c r="P13" s="7">
        <v>-5.6497325421190209E-3</v>
      </c>
      <c r="Q13" s="7">
        <v>4.5256591588120648E-2</v>
      </c>
      <c r="R13" s="7">
        <v>-1.9418085857101627E-2</v>
      </c>
      <c r="S13" s="7">
        <v>3.8048067637529964E-2</v>
      </c>
    </row>
    <row r="14" spans="13:19" x14ac:dyDescent="0.2">
      <c r="M14" s="39">
        <v>45033</v>
      </c>
      <c r="N14" s="7">
        <v>2.4292692569044483E-2</v>
      </c>
      <c r="O14" s="7">
        <v>-2.0865138463961787E-2</v>
      </c>
      <c r="P14" s="7">
        <v>4.9734005674138382E-2</v>
      </c>
      <c r="Q14" s="7">
        <v>-3.6039936483196693E-2</v>
      </c>
      <c r="R14" s="7">
        <v>-4.0005334613699248E-2</v>
      </c>
      <c r="S14" s="7">
        <v>6.9526062648610096E-2</v>
      </c>
    </row>
    <row r="15" spans="13:19" x14ac:dyDescent="0.2">
      <c r="M15" s="39">
        <v>45040</v>
      </c>
      <c r="N15" s="7">
        <v>-2.4292692569044587E-2</v>
      </c>
      <c r="O15" s="7">
        <v>-1.5939616412157187E-2</v>
      </c>
      <c r="P15" s="7">
        <v>-4.9734005674138444E-2</v>
      </c>
      <c r="Q15" s="7">
        <v>5.7922647732704509E-2</v>
      </c>
      <c r="R15" s="7">
        <v>2.0202707317519469E-2</v>
      </c>
      <c r="S15" s="7">
        <v>5.3281366612936781E-2</v>
      </c>
    </row>
    <row r="16" spans="13:19" x14ac:dyDescent="0.2">
      <c r="M16" s="39">
        <v>45047</v>
      </c>
      <c r="N16" s="7">
        <v>-3.3336420267591836E-2</v>
      </c>
      <c r="O16" s="7">
        <v>7.6564238228592013E-2</v>
      </c>
      <c r="P16" s="7">
        <v>5.6497325421191276E-3</v>
      </c>
      <c r="Q16" s="7">
        <v>4.3196611445163796E-3</v>
      </c>
      <c r="R16" s="7">
        <v>-0.12783337150988489</v>
      </c>
      <c r="S16" s="7">
        <v>3.7041271680349076E-2</v>
      </c>
    </row>
    <row r="17" spans="13:19" x14ac:dyDescent="0.2">
      <c r="M17" s="39">
        <v>45054</v>
      </c>
      <c r="N17" s="7">
        <v>-2.575249610241474E-2</v>
      </c>
      <c r="O17" s="7">
        <v>9.1711401191070831E-3</v>
      </c>
      <c r="P17" s="7">
        <v>-1.4184634991956413E-2</v>
      </c>
      <c r="Q17" s="7">
        <v>4.3010818993907017E-3</v>
      </c>
      <c r="R17" s="7">
        <v>0</v>
      </c>
      <c r="S17" s="7">
        <v>8.2836005579149177E-2</v>
      </c>
    </row>
    <row r="18" spans="13:19" x14ac:dyDescent="0.2">
      <c r="M18" s="39">
        <v>45061</v>
      </c>
      <c r="N18" s="7">
        <v>-3.0907537463076548E-2</v>
      </c>
      <c r="O18" s="7">
        <v>2.9749686171060698E-2</v>
      </c>
      <c r="P18" s="7">
        <v>1.1363758650315003E-2</v>
      </c>
      <c r="Q18" s="7">
        <v>0</v>
      </c>
      <c r="R18" s="7">
        <v>-4.6520015634892928E-2</v>
      </c>
      <c r="S18" s="7">
        <v>4.2995363260062668E-2</v>
      </c>
    </row>
    <row r="19" spans="13:19" x14ac:dyDescent="0.2">
      <c r="M19" s="39">
        <v>45068</v>
      </c>
      <c r="N19" s="7">
        <v>-4.1195756438267166E-2</v>
      </c>
      <c r="O19" s="7">
        <v>-3.2562627547675388E-2</v>
      </c>
      <c r="P19" s="7">
        <v>-8.8553397341445059E-2</v>
      </c>
      <c r="Q19" s="7">
        <v>-2.1692824611259896E-2</v>
      </c>
      <c r="R19" s="7">
        <v>4.6520015634892907E-2</v>
      </c>
      <c r="S19" s="7">
        <v>-9.4508897710170653E-2</v>
      </c>
    </row>
    <row r="20" spans="13:19" x14ac:dyDescent="0.2">
      <c r="M20" s="39">
        <v>45075</v>
      </c>
      <c r="N20" s="7">
        <v>-2.3641763057040653E-2</v>
      </c>
      <c r="O20" s="7">
        <v>5.4141347507291326E-2</v>
      </c>
      <c r="P20" s="7">
        <v>3.0816665374081144E-3</v>
      </c>
      <c r="Q20" s="7">
        <v>8.7336799687546315E-3</v>
      </c>
      <c r="R20" s="7">
        <v>0</v>
      </c>
      <c r="S20" s="7">
        <v>-1.5538603427779161E-2</v>
      </c>
    </row>
    <row r="21" spans="13:19" x14ac:dyDescent="0.2">
      <c r="M21" s="39">
        <v>45082</v>
      </c>
      <c r="N21" s="7">
        <v>-2.9128272923023713E-2</v>
      </c>
      <c r="O21" s="7">
        <v>-1.9535818329815782E-2</v>
      </c>
      <c r="P21" s="7">
        <v>2.7315810646962924E-2</v>
      </c>
      <c r="Q21" s="7">
        <v>-8.7336799687546662E-3</v>
      </c>
      <c r="R21" s="7">
        <v>-0.2876820724517809</v>
      </c>
      <c r="S21" s="7">
        <v>6.0756209421072432E-2</v>
      </c>
    </row>
    <row r="22" spans="13:19" x14ac:dyDescent="0.2">
      <c r="M22" s="9"/>
      <c r="N22" s="7"/>
      <c r="O22" s="7"/>
      <c r="P22" s="7"/>
      <c r="Q22" s="7"/>
      <c r="R22" s="7"/>
      <c r="S22" s="7"/>
    </row>
    <row r="23" spans="13:19" x14ac:dyDescent="0.2">
      <c r="M23" s="9"/>
      <c r="N23" s="7"/>
      <c r="O23" s="7" t="str">
        <f t="array" ref="O23:P28">Stock_Info</f>
        <v>XASX:GEM</v>
      </c>
      <c r="P23" s="8" t="str">
        <v>G8 EDUCATION LIMITED</v>
      </c>
      <c r="Q23" s="7"/>
      <c r="R23" s="7"/>
      <c r="S23" s="7"/>
    </row>
    <row r="24" spans="13:19" x14ac:dyDescent="0.2">
      <c r="M24" s="9"/>
      <c r="N24" s="7"/>
      <c r="O24" s="7" t="str">
        <v>XASX:JIN</v>
      </c>
      <c r="P24" s="8" t="str">
        <v>JUMBO INTERACTIVE LIMITED</v>
      </c>
      <c r="Q24" s="7"/>
      <c r="R24" s="7"/>
      <c r="S24" s="7"/>
    </row>
    <row r="25" spans="13:19" x14ac:dyDescent="0.2">
      <c r="M25" s="9"/>
      <c r="N25" s="7"/>
      <c r="O25" s="7" t="str">
        <v>XASX:ACL</v>
      </c>
      <c r="P25" s="8" t="str">
        <v>Australian Clinical Labs Ltd</v>
      </c>
      <c r="Q25" s="7"/>
      <c r="R25" s="7"/>
      <c r="S25" s="7"/>
    </row>
    <row r="26" spans="13:19" x14ac:dyDescent="0.2">
      <c r="M26" s="9"/>
      <c r="N26" s="7"/>
      <c r="O26" s="7" t="str">
        <v>XASX:MVF</v>
      </c>
      <c r="P26" s="8" t="str">
        <v>MONASH IVF GROUP LIMITED</v>
      </c>
      <c r="Q26" s="7"/>
      <c r="R26" s="7"/>
      <c r="S26" s="7"/>
    </row>
    <row r="27" spans="13:19" x14ac:dyDescent="0.2">
      <c r="M27" s="9"/>
      <c r="N27" s="7"/>
      <c r="O27" s="7" t="str">
        <v>XASX:BCB</v>
      </c>
      <c r="P27" s="8" t="str">
        <v>BOWEN COKING COAL LIMITED</v>
      </c>
      <c r="Q27" s="7"/>
      <c r="R27" s="7"/>
      <c r="S27" s="7"/>
    </row>
    <row r="28" spans="13:19" x14ac:dyDescent="0.2">
      <c r="M28" s="9"/>
      <c r="N28" s="7"/>
      <c r="O28" s="7" t="str">
        <v>XASX:PLS</v>
      </c>
      <c r="P28" s="8" t="str">
        <v>PILBARA MINERALS LIMITED</v>
      </c>
      <c r="Q28" s="7"/>
      <c r="R28" s="7"/>
      <c r="S28" s="7"/>
    </row>
    <row r="29" spans="13:19" x14ac:dyDescent="0.2">
      <c r="M29" s="9"/>
      <c r="N29" s="7"/>
      <c r="O29" s="7"/>
      <c r="P29" s="8"/>
      <c r="Q29" s="7"/>
      <c r="R29" s="7"/>
      <c r="S29" s="7"/>
    </row>
    <row r="30" spans="13:19" x14ac:dyDescent="0.2">
      <c r="M30" s="9"/>
      <c r="N30" s="7"/>
      <c r="O30" s="7"/>
      <c r="P30" s="8"/>
      <c r="Q30" s="7"/>
      <c r="R30" s="7"/>
      <c r="S30" s="7"/>
    </row>
    <row r="31" spans="13:19" x14ac:dyDescent="0.2">
      <c r="M31" s="1" t="s">
        <v>8</v>
      </c>
    </row>
    <row r="33" spans="13:19" x14ac:dyDescent="0.2">
      <c r="M33" s="1" t="str">
        <f>"Number of times that "&amp;N11&amp;" and "&amp;O11&amp;" both have positive returns"</f>
        <v>Number of times that XASX:GEM and XASX:JIN both have positive returns</v>
      </c>
    </row>
    <row r="34" spans="13:19" x14ac:dyDescent="0.2">
      <c r="M34" s="14">
        <v>1</v>
      </c>
    </row>
    <row r="35" spans="13:19" x14ac:dyDescent="0.2">
      <c r="M35" s="1" t="str">
        <f>"Number of times that either "&amp;N11&amp;" or "&amp;O11&amp;" or both stocks have positive returns"</f>
        <v>Number of times that either XASX:GEM or XASX:JIN or both stocks have positive returns</v>
      </c>
    </row>
    <row r="36" spans="13:19" x14ac:dyDescent="0.2">
      <c r="M36" s="14">
        <v>7</v>
      </c>
    </row>
    <row r="37" spans="13:19" x14ac:dyDescent="0.2">
      <c r="M37" s="1" t="str">
        <f>"Number of times that either "&amp;N11&amp;" or "&amp;O11&amp;" but not both stocks have positive returns"</f>
        <v>Number of times that either XASX:GEM or XASX:JIN but not both stocks have positive returns</v>
      </c>
    </row>
    <row r="38" spans="13:19" x14ac:dyDescent="0.2">
      <c r="M38" s="14">
        <v>6</v>
      </c>
    </row>
    <row r="41" spans="13:19" x14ac:dyDescent="0.2">
      <c r="M41" s="9"/>
      <c r="N41" s="7"/>
      <c r="O41" s="7"/>
      <c r="P41" s="8"/>
      <c r="Q41" s="7"/>
      <c r="R41" s="7"/>
      <c r="S41" s="7"/>
    </row>
    <row r="42" spans="13:19" x14ac:dyDescent="0.2">
      <c r="M42" s="12" t="s">
        <v>48</v>
      </c>
      <c r="N42" s="7"/>
      <c r="O42" s="7"/>
      <c r="P42" s="8"/>
      <c r="Q42" s="7"/>
      <c r="R42" s="7"/>
      <c r="S42" s="7"/>
    </row>
    <row r="43" spans="13:19" x14ac:dyDescent="0.2">
      <c r="M43" s="12" t="s">
        <v>6</v>
      </c>
      <c r="N43" s="7"/>
      <c r="O43" s="7"/>
      <c r="P43" s="8"/>
      <c r="Q43" s="7"/>
      <c r="R43" s="7"/>
      <c r="S43" s="7"/>
    </row>
    <row r="44" spans="13:19" x14ac:dyDescent="0.2">
      <c r="M44" s="12" t="s">
        <v>51</v>
      </c>
      <c r="N44" s="7"/>
      <c r="O44" s="7"/>
      <c r="P44" s="8"/>
      <c r="Q44" s="7"/>
      <c r="R44" s="7"/>
      <c r="S44" s="7"/>
    </row>
    <row r="45" spans="13:19" x14ac:dyDescent="0.2">
      <c r="M45" s="12" t="s">
        <v>52</v>
      </c>
      <c r="N45" s="7"/>
      <c r="O45" s="7"/>
      <c r="P45" s="8"/>
      <c r="Q45" s="7"/>
      <c r="R45" s="7"/>
      <c r="S45" s="7"/>
    </row>
    <row r="46" spans="13:19" x14ac:dyDescent="0.2">
      <c r="M46" s="12" t="s">
        <v>53</v>
      </c>
      <c r="N46" s="7"/>
      <c r="O46" s="7"/>
      <c r="P46" s="8"/>
      <c r="Q46" s="7"/>
      <c r="R46" s="7"/>
      <c r="S46" s="7"/>
    </row>
    <row r="47" spans="13:19" x14ac:dyDescent="0.2">
      <c r="M47" s="12" t="s">
        <v>7</v>
      </c>
      <c r="N47" s="7"/>
      <c r="O47" s="7"/>
      <c r="P47" s="8"/>
      <c r="Q47" s="7"/>
      <c r="R47" s="7"/>
      <c r="S47" s="7"/>
    </row>
    <row r="48" spans="13:19" x14ac:dyDescent="0.2">
      <c r="M48" s="12"/>
      <c r="N48" s="7"/>
      <c r="O48" s="7"/>
      <c r="P48" s="8"/>
      <c r="Q48" s="7"/>
      <c r="R48" s="7"/>
      <c r="S48" s="7"/>
    </row>
    <row r="49" spans="13:19" x14ac:dyDescent="0.2">
      <c r="M49" s="13"/>
    </row>
    <row r="50" spans="13:19" x14ac:dyDescent="0.2">
      <c r="N50" s="4" t="str">
        <f t="shared" ref="N50:S51" si="0">N10</f>
        <v>Weekly returns for six stocks</v>
      </c>
      <c r="O50" s="5"/>
      <c r="P50" s="5"/>
      <c r="Q50" s="5"/>
      <c r="R50" s="5"/>
      <c r="S50" s="5"/>
    </row>
    <row r="51" spans="13:19" x14ac:dyDescent="0.2">
      <c r="M51" s="10"/>
      <c r="N51" s="6" t="str">
        <f t="shared" si="0"/>
        <v>XASX:GEM</v>
      </c>
      <c r="O51" s="6" t="str">
        <f t="shared" si="0"/>
        <v>XASX:JIN</v>
      </c>
      <c r="P51" s="6" t="str">
        <f t="shared" si="0"/>
        <v>XASX:ACL</v>
      </c>
      <c r="Q51" s="6" t="str">
        <f t="shared" si="0"/>
        <v>XASX:MVF</v>
      </c>
      <c r="R51" s="6" t="str">
        <f t="shared" si="0"/>
        <v>XASX:BCB</v>
      </c>
      <c r="S51" s="6" t="str">
        <f t="shared" si="0"/>
        <v>XASX:PLS</v>
      </c>
    </row>
    <row r="52" spans="13:19" x14ac:dyDescent="0.2">
      <c r="M52" s="39">
        <f t="shared" ref="M52:M61" si="1">M12</f>
        <v>45019</v>
      </c>
      <c r="N52" s="11" t="s">
        <v>77</v>
      </c>
      <c r="O52" s="11" t="s">
        <v>74</v>
      </c>
      <c r="P52" s="11">
        <v>5.6497325421191276E-3</v>
      </c>
      <c r="Q52" s="11">
        <v>9.3023926623136306E-3</v>
      </c>
      <c r="R52" s="11">
        <v>3.9220713153281329E-2</v>
      </c>
      <c r="S52" s="11" t="s">
        <v>77</v>
      </c>
    </row>
    <row r="53" spans="13:19" x14ac:dyDescent="0.2">
      <c r="M53" s="39">
        <f t="shared" si="1"/>
        <v>45026</v>
      </c>
      <c r="N53" s="11">
        <v>3.3336420267591926E-2</v>
      </c>
      <c r="O53" s="11">
        <v>9.6332719771033033E-3</v>
      </c>
      <c r="P53" s="11">
        <v>-5.6497325421190209E-3</v>
      </c>
      <c r="Q53" s="11">
        <v>4.5256591588120648E-2</v>
      </c>
      <c r="R53" s="11">
        <v>-1.9418085857101627E-2</v>
      </c>
      <c r="S53" s="11">
        <v>3.8048067637529964E-2</v>
      </c>
    </row>
    <row r="54" spans="13:19" x14ac:dyDescent="0.2">
      <c r="M54" s="39">
        <f t="shared" si="1"/>
        <v>45033</v>
      </c>
      <c r="N54" s="11">
        <v>2.4292692569044483E-2</v>
      </c>
      <c r="O54" s="11" t="s">
        <v>77</v>
      </c>
      <c r="P54" s="11">
        <v>4.9734005674138382E-2</v>
      </c>
      <c r="Q54" s="11" t="s">
        <v>77</v>
      </c>
      <c r="R54" s="11" t="s">
        <v>77</v>
      </c>
      <c r="S54" s="11" t="s">
        <v>74</v>
      </c>
    </row>
    <row r="55" spans="13:19" x14ac:dyDescent="0.2">
      <c r="M55" s="39">
        <f t="shared" si="1"/>
        <v>45040</v>
      </c>
      <c r="N55" s="11" t="s">
        <v>77</v>
      </c>
      <c r="O55" s="11">
        <v>-1.5939616412157187E-2</v>
      </c>
      <c r="P55" s="11" t="s">
        <v>77</v>
      </c>
      <c r="Q55" s="11" t="s">
        <v>74</v>
      </c>
      <c r="R55" s="11">
        <v>2.0202707317519469E-2</v>
      </c>
      <c r="S55" s="11" t="s">
        <v>74</v>
      </c>
    </row>
    <row r="56" spans="13:19" x14ac:dyDescent="0.2">
      <c r="M56" s="39">
        <f t="shared" si="1"/>
        <v>45047</v>
      </c>
      <c r="N56" s="11" t="s">
        <v>77</v>
      </c>
      <c r="O56" s="11" t="s">
        <v>74</v>
      </c>
      <c r="P56" s="11">
        <v>5.6497325421191276E-3</v>
      </c>
      <c r="Q56" s="11">
        <v>4.3196611445163796E-3</v>
      </c>
      <c r="R56" s="11" t="s">
        <v>77</v>
      </c>
      <c r="S56" s="11">
        <v>3.7041271680349076E-2</v>
      </c>
    </row>
    <row r="57" spans="13:19" x14ac:dyDescent="0.2">
      <c r="M57" s="39">
        <f t="shared" si="1"/>
        <v>45054</v>
      </c>
      <c r="N57" s="11" t="s">
        <v>77</v>
      </c>
      <c r="O57" s="11">
        <v>9.1711401191070831E-3</v>
      </c>
      <c r="P57" s="11">
        <v>-1.4184634991956413E-2</v>
      </c>
      <c r="Q57" s="11">
        <v>4.3010818993907017E-3</v>
      </c>
      <c r="R57" s="11">
        <v>0</v>
      </c>
      <c r="S57" s="11" t="s">
        <v>74</v>
      </c>
    </row>
    <row r="58" spans="13:19" x14ac:dyDescent="0.2">
      <c r="M58" s="39">
        <f t="shared" si="1"/>
        <v>45061</v>
      </c>
      <c r="N58" s="11" t="s">
        <v>77</v>
      </c>
      <c r="O58" s="11">
        <v>2.9749686171060698E-2</v>
      </c>
      <c r="P58" s="11">
        <v>1.1363758650315003E-2</v>
      </c>
      <c r="Q58" s="11">
        <v>0</v>
      </c>
      <c r="R58" s="11" t="s">
        <v>77</v>
      </c>
      <c r="S58" s="11">
        <v>4.2995363260062668E-2</v>
      </c>
    </row>
    <row r="59" spans="13:19" x14ac:dyDescent="0.2">
      <c r="M59" s="39">
        <f t="shared" si="1"/>
        <v>45068</v>
      </c>
      <c r="N59" s="11" t="s">
        <v>76</v>
      </c>
      <c r="O59" s="11" t="s">
        <v>76</v>
      </c>
      <c r="P59" s="11" t="s">
        <v>76</v>
      </c>
      <c r="Q59" s="11" t="s">
        <v>76</v>
      </c>
      <c r="R59" s="11" t="s">
        <v>75</v>
      </c>
      <c r="S59" s="11" t="s">
        <v>76</v>
      </c>
    </row>
    <row r="60" spans="13:19" x14ac:dyDescent="0.2">
      <c r="M60" s="39">
        <f t="shared" si="1"/>
        <v>45075</v>
      </c>
      <c r="N60" s="11" t="s">
        <v>77</v>
      </c>
      <c r="O60" s="11" t="s">
        <v>74</v>
      </c>
      <c r="P60" s="11">
        <v>3.0816665374081144E-3</v>
      </c>
      <c r="Q60" s="11">
        <v>8.7336799687546315E-3</v>
      </c>
      <c r="R60" s="11">
        <v>0</v>
      </c>
      <c r="S60" s="11">
        <v>-1.5538603427779161E-2</v>
      </c>
    </row>
    <row r="61" spans="13:19" x14ac:dyDescent="0.2">
      <c r="M61" s="39">
        <f t="shared" si="1"/>
        <v>45082</v>
      </c>
      <c r="N61" s="11" t="s">
        <v>76</v>
      </c>
      <c r="O61" s="11" t="s">
        <v>76</v>
      </c>
      <c r="P61" s="11" t="s">
        <v>75</v>
      </c>
      <c r="Q61" s="11" t="s">
        <v>76</v>
      </c>
      <c r="R61" s="11" t="s">
        <v>76</v>
      </c>
      <c r="S61" s="11" t="s">
        <v>75</v>
      </c>
    </row>
  </sheetData>
  <sheetProtection algorithmName="SHA-512" hashValue="uo6EDfoia9GE9KQ0ethRdVG/Z26ekgt8XRP8mz0ygO5+C+UawffmlGpyhsQhB3/bjALu/p4rlewUrwLWf+vpzA==" saltValue="zdxasP3CrIWbiHIgVGTgHg==" spinCount="100000" sheet="1" objects="1" scenarios="1"/>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6:L60"/>
  <sheetViews>
    <sheetView topLeftCell="A10" zoomScale="125" zoomScaleNormal="50" workbookViewId="0">
      <selection activeCell="Q28" sqref="Q28"/>
    </sheetView>
  </sheetViews>
  <sheetFormatPr baseColWidth="10" defaultColWidth="8.83203125" defaultRowHeight="15" x14ac:dyDescent="0.2"/>
  <sheetData>
    <row r="16" spans="1:1" x14ac:dyDescent="0.2">
      <c r="A16" s="1" t="s">
        <v>55</v>
      </c>
    </row>
    <row r="17" spans="1:12" x14ac:dyDescent="0.2">
      <c r="A17" s="1" t="s">
        <v>56</v>
      </c>
    </row>
    <row r="18" spans="1:12" x14ac:dyDescent="0.2">
      <c r="A18" s="1" t="s">
        <v>41</v>
      </c>
    </row>
    <row r="19" spans="1:12" x14ac:dyDescent="0.2">
      <c r="A19" s="1" t="s">
        <v>40</v>
      </c>
    </row>
    <row r="21" spans="1:12" ht="16" thickBot="1" x14ac:dyDescent="0.25"/>
    <row r="22" spans="1:12" x14ac:dyDescent="0.2">
      <c r="B22" s="24"/>
      <c r="C22" s="25" t="s">
        <v>36</v>
      </c>
      <c r="D22" s="25" t="s">
        <v>37</v>
      </c>
      <c r="E22" s="25" t="s">
        <v>38</v>
      </c>
      <c r="F22" s="26" t="s">
        <v>39</v>
      </c>
      <c r="I22" s="17" t="s">
        <v>36</v>
      </c>
      <c r="J22" s="17" t="s">
        <v>37</v>
      </c>
      <c r="K22" s="17" t="s">
        <v>38</v>
      </c>
      <c r="L22" s="17" t="s">
        <v>39</v>
      </c>
    </row>
    <row r="23" spans="1:12" x14ac:dyDescent="0.2">
      <c r="B23" s="27">
        <v>40544</v>
      </c>
      <c r="C23" s="28">
        <v>1.3399503722084427E-2</v>
      </c>
      <c r="D23">
        <v>4.0140491721023519E-2</v>
      </c>
      <c r="E23">
        <v>3.2538955087076049E-2</v>
      </c>
      <c r="F23" s="29">
        <v>3.6131774707757636E-2</v>
      </c>
      <c r="H23" s="34">
        <v>40544</v>
      </c>
      <c r="I23" s="37" t="s">
        <v>43</v>
      </c>
      <c r="J23" s="37" t="s">
        <v>42</v>
      </c>
      <c r="K23" s="37">
        <v>3.2538955087076049E-2</v>
      </c>
      <c r="L23" s="37">
        <v>3.6131774707757636E-2</v>
      </c>
    </row>
    <row r="24" spans="1:12" x14ac:dyDescent="0.2">
      <c r="B24" s="27">
        <v>40575</v>
      </c>
      <c r="C24" s="28">
        <v>1.9588638589618013E-2</v>
      </c>
      <c r="D24">
        <v>4.6792088760250872E-2</v>
      </c>
      <c r="E24">
        <v>3.7949400798934718E-2</v>
      </c>
      <c r="F24" s="29">
        <v>2.2564102564102573E-2</v>
      </c>
      <c r="H24" s="34">
        <v>40575</v>
      </c>
      <c r="I24" s="37" t="s">
        <v>43</v>
      </c>
      <c r="J24" s="37" t="s">
        <v>42</v>
      </c>
      <c r="K24" s="37">
        <v>3.7949400798934718E-2</v>
      </c>
      <c r="L24" s="37">
        <v>2.2564102564102573E-2</v>
      </c>
    </row>
    <row r="25" spans="1:12" x14ac:dyDescent="0.2">
      <c r="B25" s="27">
        <v>40603</v>
      </c>
      <c r="C25" s="28">
        <v>-1.2968299711815567E-2</v>
      </c>
      <c r="D25">
        <v>1.8433179723502668E-3</v>
      </c>
      <c r="E25">
        <v>-1.3470173187941081E-2</v>
      </c>
      <c r="F25" s="29">
        <v>3.4102306920762215E-2</v>
      </c>
      <c r="H25" s="34">
        <v>40603</v>
      </c>
      <c r="I25" s="37">
        <v>-1.2968299711815567E-2</v>
      </c>
      <c r="J25" s="37">
        <v>1.8433179723502668E-3</v>
      </c>
      <c r="K25" s="37" t="s">
        <v>43</v>
      </c>
      <c r="L25" s="37" t="s">
        <v>42</v>
      </c>
    </row>
    <row r="26" spans="1:12" x14ac:dyDescent="0.2">
      <c r="B26" s="27">
        <v>40634</v>
      </c>
      <c r="C26" s="28">
        <v>1.7518248175182549E-2</v>
      </c>
      <c r="D26">
        <v>4.7838086476541086E-2</v>
      </c>
      <c r="E26">
        <v>2.514087559601208E-2</v>
      </c>
      <c r="F26" s="29">
        <v>2.0853540252182334E-2</v>
      </c>
      <c r="H26" s="34">
        <v>40634</v>
      </c>
      <c r="I26" s="37" t="s">
        <v>43</v>
      </c>
      <c r="J26" s="37" t="s">
        <v>42</v>
      </c>
      <c r="K26" s="37">
        <v>2.514087559601208E-2</v>
      </c>
      <c r="L26" s="37">
        <v>2.0853540252182334E-2</v>
      </c>
    </row>
    <row r="27" spans="1:12" x14ac:dyDescent="0.2">
      <c r="B27" s="27">
        <v>40664</v>
      </c>
      <c r="C27" s="28">
        <v>-6.0736489717838293E-2</v>
      </c>
      <c r="D27">
        <v>-2.2388059701492602E-2</v>
      </c>
      <c r="E27">
        <v>-5.7505285412262186E-2</v>
      </c>
      <c r="F27" s="29">
        <v>-7.98099762470309E-2</v>
      </c>
      <c r="H27" s="34">
        <v>40664</v>
      </c>
      <c r="I27" s="37">
        <v>-6.0736489717838293E-2</v>
      </c>
      <c r="J27" s="37" t="s">
        <v>42</v>
      </c>
      <c r="K27" s="37">
        <v>-5.7505285412262186E-2</v>
      </c>
      <c r="L27" s="37" t="s">
        <v>43</v>
      </c>
    </row>
    <row r="28" spans="1:12" x14ac:dyDescent="0.2">
      <c r="B28" s="27">
        <v>40695</v>
      </c>
      <c r="C28" s="28">
        <v>-6.109979633401319E-3</v>
      </c>
      <c r="D28">
        <v>0</v>
      </c>
      <c r="E28">
        <v>3.2974427994616473E-2</v>
      </c>
      <c r="F28" s="29">
        <v>6.1951471347443388E-3</v>
      </c>
      <c r="H28" s="34">
        <v>40695</v>
      </c>
      <c r="I28" s="37" t="s">
        <v>43</v>
      </c>
      <c r="J28" s="37">
        <v>0</v>
      </c>
      <c r="K28" s="37" t="s">
        <v>42</v>
      </c>
      <c r="L28" s="37">
        <v>6.1951471347443388E-3</v>
      </c>
    </row>
    <row r="29" spans="1:12" x14ac:dyDescent="0.2">
      <c r="B29" s="27">
        <v>40725</v>
      </c>
      <c r="C29" s="28">
        <v>-5.3278688524590168E-2</v>
      </c>
      <c r="D29">
        <v>-6.3313875168387934E-2</v>
      </c>
      <c r="E29">
        <v>-5.7763300760043323E-2</v>
      </c>
      <c r="F29" s="29">
        <v>-8.26064648537711E-2</v>
      </c>
      <c r="H29" s="34">
        <v>40725</v>
      </c>
      <c r="I29" s="37" t="s">
        <v>42</v>
      </c>
      <c r="J29" s="37">
        <v>-6.3313875168387934E-2</v>
      </c>
      <c r="K29" s="37">
        <v>-5.7763300760043323E-2</v>
      </c>
      <c r="L29" s="37" t="s">
        <v>43</v>
      </c>
    </row>
    <row r="30" spans="1:12" x14ac:dyDescent="0.2">
      <c r="B30" s="27">
        <v>40756</v>
      </c>
      <c r="C30" s="28">
        <v>-2.5432900432900363E-2</v>
      </c>
      <c r="D30">
        <v>-1.1984659635666306E-2</v>
      </c>
      <c r="E30">
        <v>1.7976492279327072E-2</v>
      </c>
      <c r="F30" s="29">
        <v>8.3892617449665696E-3</v>
      </c>
      <c r="H30" s="34">
        <v>40756</v>
      </c>
      <c r="I30" s="37" t="s">
        <v>43</v>
      </c>
      <c r="J30" s="37">
        <v>-1.1984659635666306E-2</v>
      </c>
      <c r="K30" s="37" t="s">
        <v>42</v>
      </c>
      <c r="L30" s="37">
        <v>8.3892617449665696E-3</v>
      </c>
    </row>
    <row r="31" spans="1:12" x14ac:dyDescent="0.2">
      <c r="B31" s="27">
        <v>40787</v>
      </c>
      <c r="C31" s="28">
        <v>-3.8312048861743553E-2</v>
      </c>
      <c r="D31">
        <v>-5.6768558951964976E-2</v>
      </c>
      <c r="E31">
        <v>-5.5241113878197967E-2</v>
      </c>
      <c r="F31" s="29">
        <v>-1.2201885745979024E-2</v>
      </c>
      <c r="H31" s="34">
        <v>40787</v>
      </c>
      <c r="I31" s="37">
        <v>-3.8312048861743553E-2</v>
      </c>
      <c r="J31" s="37" t="s">
        <v>43</v>
      </c>
      <c r="K31" s="37">
        <v>-5.5241113878197967E-2</v>
      </c>
      <c r="L31" s="37" t="s">
        <v>42</v>
      </c>
    </row>
    <row r="32" spans="1:12" x14ac:dyDescent="0.2">
      <c r="B32" s="27">
        <v>40817</v>
      </c>
      <c r="C32" s="28">
        <v>0.11085450346420322</v>
      </c>
      <c r="D32">
        <v>0.14917695473251014</v>
      </c>
      <c r="E32">
        <v>8.1476156242511477E-2</v>
      </c>
      <c r="F32" s="29">
        <v>9.7136440202133745E-2</v>
      </c>
      <c r="H32" s="34">
        <v>40817</v>
      </c>
      <c r="I32" s="37">
        <v>0.11085450346420322</v>
      </c>
      <c r="J32" s="37" t="s">
        <v>42</v>
      </c>
      <c r="K32" s="37" t="s">
        <v>43</v>
      </c>
      <c r="L32" s="37">
        <v>9.7136440202133745E-2</v>
      </c>
    </row>
    <row r="33" spans="1:12" x14ac:dyDescent="0.2">
      <c r="B33" s="27">
        <v>40848</v>
      </c>
      <c r="C33" s="28">
        <v>-4.8856548856548776E-2</v>
      </c>
      <c r="D33">
        <v>-5.6848701880035768E-2</v>
      </c>
      <c r="E33">
        <v>-3.7890538444493749E-2</v>
      </c>
      <c r="F33" s="29">
        <v>-4.4012282497441158E-2</v>
      </c>
      <c r="H33" s="34">
        <v>40848</v>
      </c>
      <c r="I33" s="37">
        <v>-4.8856548856548776E-2</v>
      </c>
      <c r="J33" s="37" t="s">
        <v>43</v>
      </c>
      <c r="K33" s="37" t="s">
        <v>42</v>
      </c>
      <c r="L33" s="37">
        <v>-4.4012282497441158E-2</v>
      </c>
    </row>
    <row r="34" spans="1:12" x14ac:dyDescent="0.2">
      <c r="B34" s="27">
        <v>40878</v>
      </c>
      <c r="C34" s="28">
        <v>3.1693989071038153E-2</v>
      </c>
      <c r="D34">
        <v>-2.3730422401518902E-3</v>
      </c>
      <c r="E34">
        <v>3.8461538461538547E-2</v>
      </c>
      <c r="F34" s="29">
        <v>-2.7301927194860687E-2</v>
      </c>
      <c r="H34" s="34">
        <v>40878</v>
      </c>
      <c r="I34" s="37">
        <v>3.1693989071038153E-2</v>
      </c>
      <c r="J34" s="37">
        <v>-2.3730422401518902E-3</v>
      </c>
      <c r="K34" s="37" t="s">
        <v>42</v>
      </c>
      <c r="L34" s="37" t="s">
        <v>43</v>
      </c>
    </row>
    <row r="35" spans="1:12" x14ac:dyDescent="0.2">
      <c r="B35" s="27">
        <v>40909</v>
      </c>
      <c r="C35" s="28">
        <v>4.2902542372881491E-2</v>
      </c>
      <c r="D35">
        <v>2.0932445290199775E-2</v>
      </c>
      <c r="E35">
        <v>2.9274783765801615E-2</v>
      </c>
      <c r="F35" s="29">
        <v>5.7237204182718715E-2</v>
      </c>
      <c r="H35" s="34">
        <v>40909</v>
      </c>
      <c r="I35" s="37">
        <v>4.2902542372881491E-2</v>
      </c>
      <c r="J35" s="37" t="s">
        <v>43</v>
      </c>
      <c r="K35" s="37">
        <v>2.9274783765801615E-2</v>
      </c>
      <c r="L35" s="37" t="s">
        <v>42</v>
      </c>
    </row>
    <row r="36" spans="1:12" x14ac:dyDescent="0.2">
      <c r="B36" s="27">
        <v>40940</v>
      </c>
      <c r="C36" s="28">
        <v>2.488572879634332E-2</v>
      </c>
      <c r="D36">
        <v>-7.45573159366264E-3</v>
      </c>
      <c r="E36">
        <v>3.2320620555916779E-3</v>
      </c>
      <c r="F36" s="29">
        <v>-1.1972930765226431E-2</v>
      </c>
      <c r="H36" s="34">
        <v>40940</v>
      </c>
      <c r="I36" s="37" t="s">
        <v>42</v>
      </c>
      <c r="J36" s="37">
        <v>-7.45573159366264E-3</v>
      </c>
      <c r="K36" s="37">
        <v>3.2320620555916779E-3</v>
      </c>
      <c r="L36" s="37" t="s">
        <v>43</v>
      </c>
    </row>
    <row r="37" spans="1:12" x14ac:dyDescent="0.2">
      <c r="B37" s="27">
        <v>40969</v>
      </c>
      <c r="C37" s="28">
        <v>5.9960356788899993E-2</v>
      </c>
      <c r="D37">
        <v>3.9436619718309807E-2</v>
      </c>
      <c r="E37">
        <v>1.3745704467353903E-2</v>
      </c>
      <c r="F37" s="29">
        <v>4.7418335089567831E-2</v>
      </c>
      <c r="H37" s="34">
        <v>40969</v>
      </c>
      <c r="I37" s="37" t="s">
        <v>42</v>
      </c>
      <c r="J37" s="37">
        <v>3.9436619718309807E-2</v>
      </c>
      <c r="K37" s="37" t="s">
        <v>43</v>
      </c>
      <c r="L37" s="37">
        <v>4.7418335089567831E-2</v>
      </c>
    </row>
    <row r="38" spans="1:12" x14ac:dyDescent="0.2">
      <c r="B38" s="27">
        <v>41000</v>
      </c>
      <c r="C38" s="28">
        <v>2.8050490883590351E-2</v>
      </c>
      <c r="D38">
        <v>2.5293586269195867E-2</v>
      </c>
      <c r="E38">
        <v>3.7288135593220195E-2</v>
      </c>
      <c r="F38" s="29">
        <v>3.8732394366197243E-2</v>
      </c>
      <c r="H38" s="34">
        <v>41000</v>
      </c>
      <c r="I38" s="37">
        <v>2.8050490883590351E-2</v>
      </c>
      <c r="J38" s="37" t="s">
        <v>43</v>
      </c>
      <c r="K38" s="37">
        <v>3.7288135593220195E-2</v>
      </c>
      <c r="L38" s="37" t="s">
        <v>42</v>
      </c>
    </row>
    <row r="39" spans="1:12" x14ac:dyDescent="0.2">
      <c r="B39" s="27">
        <v>41030</v>
      </c>
      <c r="C39" s="28">
        <v>-0.10050022737607989</v>
      </c>
      <c r="D39">
        <v>-7.4008810572687267E-2</v>
      </c>
      <c r="E39">
        <v>-4.9428104575163445E-2</v>
      </c>
      <c r="F39" s="29">
        <v>-7.4092009685229887E-2</v>
      </c>
      <c r="H39" s="34">
        <v>41030</v>
      </c>
      <c r="I39" s="37" t="s">
        <v>43</v>
      </c>
      <c r="J39" s="37">
        <v>-7.4008810572687267E-2</v>
      </c>
      <c r="K39" s="37" t="s">
        <v>42</v>
      </c>
      <c r="L39" s="37">
        <v>-7.4092009685229887E-2</v>
      </c>
    </row>
    <row r="40" spans="1:12" x14ac:dyDescent="0.2">
      <c r="B40" s="27">
        <v>41061</v>
      </c>
      <c r="C40" s="28">
        <v>5.409504550050559E-2</v>
      </c>
      <c r="D40">
        <v>4.709800190294966E-2</v>
      </c>
      <c r="E40">
        <v>7.4774387623549821E-2</v>
      </c>
      <c r="F40" s="29">
        <v>4.1317991631799167E-2</v>
      </c>
      <c r="H40" s="34">
        <v>41061</v>
      </c>
      <c r="I40" s="37">
        <v>5.409504550050559E-2</v>
      </c>
      <c r="J40" s="37">
        <v>4.709800190294966E-2</v>
      </c>
      <c r="K40" s="37" t="s">
        <v>42</v>
      </c>
      <c r="L40" s="37" t="s">
        <v>43</v>
      </c>
    </row>
    <row r="41" spans="1:12" x14ac:dyDescent="0.2">
      <c r="B41" s="27">
        <v>41091</v>
      </c>
      <c r="C41" s="28">
        <v>6.8585131894484341E-2</v>
      </c>
      <c r="D41">
        <v>6.1335756474329761E-2</v>
      </c>
      <c r="E41">
        <v>8.3366653338664332E-2</v>
      </c>
      <c r="F41" s="29">
        <v>9.7940733299849203E-2</v>
      </c>
      <c r="H41" s="34">
        <v>41091</v>
      </c>
      <c r="I41" s="37">
        <v>6.8585131894484341E-2</v>
      </c>
      <c r="J41" s="37" t="s">
        <v>43</v>
      </c>
      <c r="K41" s="37">
        <v>8.3366653338664332E-2</v>
      </c>
      <c r="L41" s="37" t="s">
        <v>42</v>
      </c>
    </row>
    <row r="42" spans="1:12" x14ac:dyDescent="0.2">
      <c r="B42" s="27">
        <v>41122</v>
      </c>
      <c r="C42" s="28">
        <v>5.43087971274685E-2</v>
      </c>
      <c r="D42">
        <v>9.4178082191780366E-3</v>
      </c>
      <c r="E42">
        <v>-1.4578335486252092E-2</v>
      </c>
      <c r="F42" s="29">
        <v>6.7703568161024741E-2</v>
      </c>
      <c r="H42" s="34">
        <v>41122</v>
      </c>
      <c r="I42" s="37">
        <v>5.43087971274685E-2</v>
      </c>
      <c r="J42" s="37">
        <v>9.4178082191780366E-3</v>
      </c>
      <c r="K42" s="37" t="s">
        <v>43</v>
      </c>
      <c r="L42" s="37" t="s">
        <v>42</v>
      </c>
    </row>
    <row r="43" spans="1:12" x14ac:dyDescent="0.2">
      <c r="B43" s="27">
        <v>41153</v>
      </c>
      <c r="C43" s="28">
        <v>-2.5542784163473664E-3</v>
      </c>
      <c r="D43">
        <v>1.1026293469041715E-2</v>
      </c>
      <c r="E43">
        <v>1.8913857677902657E-2</v>
      </c>
      <c r="F43" s="29">
        <v>3.4275921165383139E-3</v>
      </c>
      <c r="H43" s="34">
        <v>41153</v>
      </c>
      <c r="I43" s="37" t="s">
        <v>43</v>
      </c>
      <c r="J43" s="37">
        <v>1.1026293469041715E-2</v>
      </c>
      <c r="K43" s="37" t="s">
        <v>42</v>
      </c>
      <c r="L43" s="37">
        <v>3.4275921165383139E-3</v>
      </c>
    </row>
    <row r="44" spans="1:12" x14ac:dyDescent="0.2">
      <c r="B44" s="27">
        <v>41183</v>
      </c>
      <c r="C44" s="28">
        <v>2.8169014084507005E-2</v>
      </c>
      <c r="D44">
        <v>1.1744966442952975E-2</v>
      </c>
      <c r="E44">
        <v>3.5471420694725309E-2</v>
      </c>
      <c r="F44" s="29">
        <v>2.6473099914602782E-2</v>
      </c>
      <c r="H44" s="34">
        <v>41183</v>
      </c>
      <c r="I44" s="37">
        <v>2.8169014084507005E-2</v>
      </c>
      <c r="J44" s="37" t="s">
        <v>43</v>
      </c>
      <c r="K44" s="37" t="s">
        <v>42</v>
      </c>
      <c r="L44" s="37">
        <v>2.6473099914602782E-2</v>
      </c>
    </row>
    <row r="45" spans="1:12" x14ac:dyDescent="0.2">
      <c r="B45" s="27">
        <v>41214</v>
      </c>
      <c r="C45" s="28">
        <v>-1.2453300124533051E-2</v>
      </c>
      <c r="D45">
        <v>-2.2388059701492602E-2</v>
      </c>
      <c r="E45">
        <v>3.3546325878594185E-2</v>
      </c>
      <c r="F45" s="29">
        <v>3.28618968386023E-2</v>
      </c>
      <c r="H45" s="34">
        <v>41214</v>
      </c>
      <c r="I45" s="37">
        <v>-1.2453300124533051E-2</v>
      </c>
      <c r="J45" s="37" t="s">
        <v>43</v>
      </c>
      <c r="K45" s="37" t="s">
        <v>42</v>
      </c>
      <c r="L45" s="37">
        <v>3.28618968386023E-2</v>
      </c>
    </row>
    <row r="46" spans="1:12" ht="16" thickBot="1" x14ac:dyDescent="0.25">
      <c r="B46" s="30">
        <v>41244</v>
      </c>
      <c r="C46" s="31">
        <v>2.8583438419504059E-2</v>
      </c>
      <c r="D46" s="32">
        <v>2.8837998303647305E-2</v>
      </c>
      <c r="E46" s="32">
        <v>4.1731066460587218E-2</v>
      </c>
      <c r="F46" s="33">
        <v>2.1345146999597331E-2</v>
      </c>
      <c r="H46" s="34">
        <v>41244</v>
      </c>
      <c r="I46" s="37">
        <v>2.8583438419504059E-2</v>
      </c>
      <c r="J46" s="37">
        <v>2.8837998303647305E-2</v>
      </c>
      <c r="K46" s="37" t="s">
        <v>42</v>
      </c>
      <c r="L46" s="37" t="s">
        <v>43</v>
      </c>
    </row>
    <row r="48" spans="1:12" x14ac:dyDescent="0.2">
      <c r="A48" s="1" t="s">
        <v>45</v>
      </c>
    </row>
    <row r="50" spans="1:12" x14ac:dyDescent="0.2">
      <c r="C50" s="17" t="s">
        <v>36</v>
      </c>
      <c r="D50" s="17" t="s">
        <v>37</v>
      </c>
      <c r="E50" s="17" t="s">
        <v>38</v>
      </c>
      <c r="F50" s="17" t="s">
        <v>39</v>
      </c>
      <c r="I50" s="17" t="s">
        <v>36</v>
      </c>
      <c r="J50" s="17" t="s">
        <v>37</v>
      </c>
      <c r="K50" s="17" t="s">
        <v>38</v>
      </c>
      <c r="L50" s="17" t="s">
        <v>39</v>
      </c>
    </row>
    <row r="51" spans="1:12" x14ac:dyDescent="0.2">
      <c r="B51" s="1" t="s">
        <v>42</v>
      </c>
      <c r="C51" s="37">
        <v>3</v>
      </c>
      <c r="D51" s="37">
        <v>5</v>
      </c>
      <c r="E51" s="37">
        <v>10</v>
      </c>
      <c r="F51" s="37">
        <v>6</v>
      </c>
      <c r="H51" s="1" t="s">
        <v>42</v>
      </c>
      <c r="I51" s="41" cm="1">
        <f t="array" ref="I51:L53">wlcount(bank_data)</f>
        <v>3</v>
      </c>
      <c r="J51" s="41">
        <v>5</v>
      </c>
      <c r="K51" s="41">
        <v>10</v>
      </c>
      <c r="L51" s="41">
        <v>6</v>
      </c>
    </row>
    <row r="52" spans="1:12" x14ac:dyDescent="0.2">
      <c r="B52" s="1" t="s">
        <v>43</v>
      </c>
      <c r="C52" s="37">
        <v>7</v>
      </c>
      <c r="D52" s="37">
        <v>7</v>
      </c>
      <c r="E52" s="37">
        <v>4</v>
      </c>
      <c r="F52" s="37">
        <v>6</v>
      </c>
      <c r="H52" s="1" t="s">
        <v>43</v>
      </c>
      <c r="I52" s="41">
        <v>7</v>
      </c>
      <c r="J52" s="41">
        <v>7</v>
      </c>
      <c r="K52" s="41">
        <v>4</v>
      </c>
      <c r="L52" s="41">
        <v>6</v>
      </c>
    </row>
    <row r="53" spans="1:12" x14ac:dyDescent="0.2">
      <c r="B53" s="1" t="s">
        <v>44</v>
      </c>
      <c r="C53" s="37">
        <v>14</v>
      </c>
      <c r="D53" s="37">
        <v>12</v>
      </c>
      <c r="E53" s="37">
        <v>10</v>
      </c>
      <c r="F53" s="37">
        <v>12</v>
      </c>
      <c r="H53" s="1" t="s">
        <v>44</v>
      </c>
      <c r="I53" s="41">
        <v>14</v>
      </c>
      <c r="J53" s="41">
        <v>12</v>
      </c>
      <c r="K53" s="41">
        <v>10</v>
      </c>
      <c r="L53" s="41">
        <v>12</v>
      </c>
    </row>
    <row r="54" spans="1:12" x14ac:dyDescent="0.2">
      <c r="B54" s="1"/>
    </row>
    <row r="55" spans="1:12" x14ac:dyDescent="0.2">
      <c r="A55" s="1" t="s">
        <v>46</v>
      </c>
    </row>
    <row r="57" spans="1:12" x14ac:dyDescent="0.2">
      <c r="C57" s="17" t="s">
        <v>36</v>
      </c>
      <c r="D57" s="17" t="s">
        <v>37</v>
      </c>
      <c r="E57" s="17" t="s">
        <v>38</v>
      </c>
      <c r="F57" s="17" t="s">
        <v>39</v>
      </c>
    </row>
    <row r="58" spans="1:12" x14ac:dyDescent="0.2">
      <c r="B58" s="1" t="s">
        <v>42</v>
      </c>
      <c r="C58" s="38">
        <v>0.125</v>
      </c>
      <c r="D58" s="38">
        <v>0.20833333333333334</v>
      </c>
      <c r="E58" s="38">
        <v>0.41666666666666669</v>
      </c>
      <c r="F58" s="38">
        <v>0.25</v>
      </c>
    </row>
    <row r="59" spans="1:12" x14ac:dyDescent="0.2">
      <c r="B59" s="1" t="s">
        <v>43</v>
      </c>
      <c r="C59" s="38">
        <v>0.29166666666666669</v>
      </c>
      <c r="D59" s="38">
        <v>0.29166666666666669</v>
      </c>
      <c r="E59" s="38">
        <v>0.16666666666666666</v>
      </c>
      <c r="F59" s="38">
        <v>0.25</v>
      </c>
    </row>
    <row r="60" spans="1:12" x14ac:dyDescent="0.2">
      <c r="B60" s="1" t="s">
        <v>44</v>
      </c>
      <c r="C60" s="38">
        <v>0.58333333333333337</v>
      </c>
      <c r="D60" s="38">
        <v>0.5</v>
      </c>
      <c r="E60" s="38">
        <v>0.41666666666666669</v>
      </c>
      <c r="F60" s="38">
        <v>0.5</v>
      </c>
    </row>
  </sheetData>
  <sheetProtection algorithmName="SHA-512" hashValue="6lxE1LgMc20dusIMsoz2NdBvYsY5xGktRBOI7Jf9taUTaBVBOxtuMlQbnemdHo/JkJFnWhRmwJMnBIR+CZxG2Q==" saltValue="xyyQP2/EmC2MNCta7D7ejQ==" spinCount="100000" sheet="1" objects="1" scenarios="1"/>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B17:E48"/>
  <sheetViews>
    <sheetView tabSelected="1" topLeftCell="A16" zoomScale="150" zoomScaleNormal="50" workbookViewId="0">
      <selection activeCell="G28" sqref="G28"/>
    </sheetView>
  </sheetViews>
  <sheetFormatPr baseColWidth="10" defaultColWidth="8.83203125" defaultRowHeight="15" x14ac:dyDescent="0.2"/>
  <cols>
    <col min="2" max="2" width="16.5" customWidth="1"/>
    <col min="3" max="5" width="12.83203125" customWidth="1"/>
  </cols>
  <sheetData>
    <row r="17" spans="2:4" ht="24" x14ac:dyDescent="0.3">
      <c r="B17" s="19" t="s">
        <v>30</v>
      </c>
    </row>
    <row r="19" spans="2:4" x14ac:dyDescent="0.2">
      <c r="B19" s="1" t="s">
        <v>9</v>
      </c>
    </row>
    <row r="20" spans="2:4" x14ac:dyDescent="0.2">
      <c r="B20" s="1" t="s">
        <v>19</v>
      </c>
    </row>
    <row r="21" spans="2:4" x14ac:dyDescent="0.2">
      <c r="B21" t="s">
        <v>10</v>
      </c>
      <c r="C21" s="3">
        <v>1.6094379124341003</v>
      </c>
      <c r="D21" s="36">
        <f>LN(5)</f>
        <v>1.6094379124341003</v>
      </c>
    </row>
    <row r="22" spans="2:4" x14ac:dyDescent="0.2">
      <c r="B22" t="s">
        <v>11</v>
      </c>
      <c r="C22" s="3">
        <v>6.5191472879403953</v>
      </c>
      <c r="D22" s="36">
        <f>LN(678)</f>
        <v>6.5191472879403953</v>
      </c>
    </row>
    <row r="23" spans="2:4" x14ac:dyDescent="0.2">
      <c r="B23" t="s">
        <v>12</v>
      </c>
      <c r="C23" s="3">
        <v>1.1447003928608648</v>
      </c>
      <c r="D23" s="36">
        <f>LN(3.1415)</f>
        <v>1.1447003928608648</v>
      </c>
    </row>
    <row r="24" spans="2:4" ht="17" x14ac:dyDescent="0.2">
      <c r="B24" t="s">
        <v>15</v>
      </c>
      <c r="C24" s="3">
        <v>7.3890560989306504</v>
      </c>
      <c r="D24" s="36">
        <f>EXP(2)</f>
        <v>7.3890560989306504</v>
      </c>
    </row>
    <row r="25" spans="2:4" ht="17" x14ac:dyDescent="0.2">
      <c r="B25" t="s">
        <v>14</v>
      </c>
      <c r="C25" s="3">
        <v>2.0916594960129961E+24</v>
      </c>
      <c r="D25" s="36">
        <f>EXP(56)</f>
        <v>2.0916594960129961E+24</v>
      </c>
    </row>
    <row r="26" spans="2:4" ht="17" x14ac:dyDescent="0.2">
      <c r="B26" t="s">
        <v>13</v>
      </c>
      <c r="C26" s="3">
        <v>23.138548663861286</v>
      </c>
      <c r="D26" s="36">
        <f>EXP(3.1415)</f>
        <v>23.138548663861286</v>
      </c>
    </row>
    <row r="27" spans="2:4" x14ac:dyDescent="0.2">
      <c r="B27" s="15" t="s">
        <v>16</v>
      </c>
      <c r="C27" s="3">
        <v>0.5</v>
      </c>
      <c r="D27" s="36">
        <f>NORMSDIST(0)</f>
        <v>0.5</v>
      </c>
    </row>
    <row r="28" spans="2:4" x14ac:dyDescent="0.2">
      <c r="B28" s="15" t="s">
        <v>17</v>
      </c>
      <c r="C28" s="3">
        <v>0.69146246127401312</v>
      </c>
      <c r="D28" s="36">
        <f>NORMSDIST(0.5)</f>
        <v>0.69146246127401312</v>
      </c>
    </row>
    <row r="29" spans="2:4" x14ac:dyDescent="0.2">
      <c r="B29" s="15" t="s">
        <v>18</v>
      </c>
      <c r="C29" s="3">
        <v>0.95000420970355903</v>
      </c>
      <c r="D29" s="36">
        <f>NORMSDIST(1.96)-NORMSDIST(-1.96)</f>
        <v>0.95000420970355903</v>
      </c>
    </row>
    <row r="31" spans="2:4" x14ac:dyDescent="0.2">
      <c r="B31" s="1" t="s">
        <v>22</v>
      </c>
    </row>
    <row r="32" spans="2:4" x14ac:dyDescent="0.2">
      <c r="B32" s="1" t="s">
        <v>20</v>
      </c>
    </row>
    <row r="33" spans="2:5" x14ac:dyDescent="0.2">
      <c r="B33" s="1" t="s">
        <v>23</v>
      </c>
    </row>
    <row r="34" spans="2:5" x14ac:dyDescent="0.2">
      <c r="B34" s="1" t="s">
        <v>24</v>
      </c>
    </row>
    <row r="35" spans="2:5" x14ac:dyDescent="0.2">
      <c r="B35" s="1" t="s">
        <v>26</v>
      </c>
    </row>
    <row r="36" spans="2:5" x14ac:dyDescent="0.2">
      <c r="B36" s="1"/>
    </row>
    <row r="37" spans="2:5" x14ac:dyDescent="0.2">
      <c r="B37" s="1"/>
    </row>
    <row r="38" spans="2:5" x14ac:dyDescent="0.2">
      <c r="B38" s="10"/>
      <c r="C38" s="16" t="s">
        <v>21</v>
      </c>
      <c r="D38" s="17" t="s">
        <v>25</v>
      </c>
      <c r="E38" s="17" t="s">
        <v>25</v>
      </c>
    </row>
    <row r="39" spans="2:5" x14ac:dyDescent="0.2">
      <c r="B39" s="9">
        <v>1974</v>
      </c>
      <c r="C39" s="7">
        <v>0.64947839920892392</v>
      </c>
    </row>
    <row r="40" spans="2:5" x14ac:dyDescent="0.2">
      <c r="B40" s="9">
        <v>1975</v>
      </c>
      <c r="C40" s="7">
        <v>1.1095083351654194</v>
      </c>
      <c r="D40" s="42">
        <v>0.53550267689790032</v>
      </c>
      <c r="E40" s="43">
        <f>LN(C40/C39)</f>
        <v>0.53550267689790032</v>
      </c>
    </row>
    <row r="41" spans="2:5" x14ac:dyDescent="0.2">
      <c r="B41" s="9">
        <v>1976</v>
      </c>
      <c r="C41" s="7">
        <v>1.9226949352557707</v>
      </c>
      <c r="D41" s="42">
        <v>0.54981083810502929</v>
      </c>
      <c r="E41" s="43">
        <f t="shared" ref="E41:E48" si="0">LN(C41/C40)</f>
        <v>0.54981083810502929</v>
      </c>
    </row>
    <row r="42" spans="2:5" x14ac:dyDescent="0.2">
      <c r="B42" s="9">
        <v>1977</v>
      </c>
      <c r="C42" s="7">
        <v>1.5316747425451285</v>
      </c>
      <c r="D42" s="42">
        <v>-0.22736607427539096</v>
      </c>
      <c r="E42" s="43">
        <f t="shared" si="0"/>
        <v>-0.22736607427539096</v>
      </c>
    </row>
    <row r="43" spans="2:5" x14ac:dyDescent="0.2">
      <c r="B43" s="9">
        <v>1978</v>
      </c>
      <c r="C43" s="7">
        <v>1.7864134020571063</v>
      </c>
      <c r="D43" s="42">
        <v>0.15384818405278239</v>
      </c>
      <c r="E43" s="43">
        <f t="shared" si="0"/>
        <v>0.15384818405278239</v>
      </c>
    </row>
    <row r="44" spans="2:5" x14ac:dyDescent="0.2">
      <c r="B44" s="9">
        <v>1979</v>
      </c>
      <c r="C44" s="7">
        <v>1.3114941342895485</v>
      </c>
      <c r="D44" s="42">
        <v>-0.30904287599234648</v>
      </c>
      <c r="E44" s="43">
        <f t="shared" si="0"/>
        <v>-0.30904287599234648</v>
      </c>
    </row>
    <row r="45" spans="2:5" x14ac:dyDescent="0.2">
      <c r="B45" s="9">
        <v>1980</v>
      </c>
      <c r="C45" s="7">
        <v>1.3277644520439984</v>
      </c>
      <c r="D45" s="42">
        <v>1.2329617079017387E-2</v>
      </c>
      <c r="E45" s="43">
        <f t="shared" si="0"/>
        <v>1.2329617079017387E-2</v>
      </c>
    </row>
    <row r="46" spans="2:5" x14ac:dyDescent="0.2">
      <c r="B46" s="9">
        <v>1981</v>
      </c>
      <c r="C46" s="7">
        <v>1.2927631831466839</v>
      </c>
      <c r="D46" s="42">
        <v>-2.6714734877095313E-2</v>
      </c>
      <c r="E46" s="43">
        <f t="shared" si="0"/>
        <v>-2.6714734877095313E-2</v>
      </c>
    </row>
    <row r="47" spans="2:5" x14ac:dyDescent="0.2">
      <c r="B47" s="9">
        <v>1982</v>
      </c>
      <c r="C47" s="7">
        <v>2.6685201512408354</v>
      </c>
      <c r="D47" s="42">
        <v>0.72474213829063849</v>
      </c>
      <c r="E47" s="43">
        <f t="shared" si="0"/>
        <v>0.72474213829063849</v>
      </c>
    </row>
    <row r="48" spans="2:5" x14ac:dyDescent="0.2">
      <c r="B48" s="9">
        <v>1983</v>
      </c>
      <c r="C48" s="7">
        <v>3.1867974969607973</v>
      </c>
      <c r="D48" s="42">
        <v>0.1774924247970853</v>
      </c>
      <c r="E48" s="43">
        <f t="shared" si="0"/>
        <v>0.1774924247970853</v>
      </c>
    </row>
  </sheetData>
  <sheetProtection algorithmName="SHA-512" hashValue="wzmZ5pV/EnfTyxBMPDp1MyGdPO+qFEVFlzn9a9VDPC2SoGi1iO3pb8PqUOpPCgnPewq9vXv8lIfFYRBOhoHqWg==" saltValue="D1ipfuqScQy8mbsWKiU7Eg=="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4AEBCB-8E52-4A65-A75A-AAF6170D558F}">
  <sheetPr codeName="Sheet6"/>
  <dimension ref="BN10:DR48"/>
  <sheetViews>
    <sheetView zoomScale="50" zoomScaleNormal="50" workbookViewId="0"/>
  </sheetViews>
  <sheetFormatPr baseColWidth="10" defaultColWidth="8.83203125" defaultRowHeight="15" x14ac:dyDescent="0.2"/>
  <sheetData>
    <row r="10" spans="66:69" x14ac:dyDescent="0.2">
      <c r="BN10" s="44">
        <v>45169.523877314816</v>
      </c>
    </row>
    <row r="12" spans="66:69" x14ac:dyDescent="0.2">
      <c r="BQ12" t="s">
        <v>72</v>
      </c>
    </row>
    <row r="48" spans="122:122" x14ac:dyDescent="0.2">
      <c r="DR48" t="s">
        <v>70</v>
      </c>
    </row>
  </sheetData>
  <sheetProtection algorithmName="SHA-512" hashValue="vxI3yci8N5D0xawfH0EacHAdY1j9E8qT17XiXY0t1jxsu63uc/5yuBrTkApZ+upL4Dk7d5qddI9HDScaHvchoA==" saltValue="Tu+XXAy89t+Te5TaY2/ntg=="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Name</vt:lpstr>
      <vt:lpstr>IF Statements 1</vt:lpstr>
      <vt:lpstr>IF Statements 2</vt:lpstr>
      <vt:lpstr>IF Statements 3</vt:lpstr>
      <vt:lpstr>Mathematical Functions</vt:lpstr>
      <vt:lpstr>abc</vt:lpstr>
      <vt:lpstr>bank_data</vt:lpstr>
      <vt:lpstr>bank_output</vt:lpstr>
      <vt:lpstr>dates_in</vt:lpstr>
      <vt:lpstr>dates_out</vt:lpstr>
      <vt:lpstr>df</vt:lpstr>
      <vt:lpstr>df_1</vt:lpstr>
      <vt:lpstr>df_2</vt:lpstr>
      <vt:lpstr>df_3</vt:lpstr>
      <vt:lpstr>df_4</vt:lpstr>
      <vt:lpstr>input</vt:lpstr>
      <vt:lpstr>input2</vt:lpstr>
      <vt:lpstr>output</vt:lpstr>
      <vt:lpstr>output2</vt:lpstr>
      <vt:lpstr>prop</vt:lpstr>
      <vt:lpstr>Stock_Data</vt:lpstr>
      <vt:lpstr>Stock_Date</vt:lpstr>
      <vt:lpstr>Stock_Info</vt:lpstr>
      <vt:lpstr>wl_count</vt:lpstr>
      <vt:lpstr>wlfun_count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Slava</dc:creator>
  <cp:lastModifiedBy>Grant Fullston</cp:lastModifiedBy>
  <dcterms:created xsi:type="dcterms:W3CDTF">2010-07-28T05:17:11Z</dcterms:created>
  <dcterms:modified xsi:type="dcterms:W3CDTF">2023-09-07T02:49:32Z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FC3540A">
    <vt:lpwstr>2019Semester2</vt:lpwstr>
  </property>
  <property fmtid="{D5CDD505-2E9C-101B-9397-08002B2CF9AE}" pid="3" name="BFC3540B">
    <vt:lpwstr>ÍÏÎÇ¬Î|¼</vt:lpwstr>
  </property>
  <property fmtid="{D5CDD505-2E9C-101B-9397-08002B2CF9AE}" pid="4" name="BFC3540C">
    <vt:lpwstr>ÍÏÎÇ¬Î|½¹¼ÌÊËÏ «¯</vt:lpwstr>
  </property>
  <property fmtid="{D5CDD505-2E9C-101B-9397-08002B2CF9AE}" pid="5" name="BFC3540D">
    <vt:lpwstr>ÍÏÎÇ¬Î|</vt:lpwstr>
  </property>
  <property fmtid="{D5CDD505-2E9C-101B-9397-08002B2CF9AE}" pid="6" name="BFC3540E">
    <vt:lpwstr>ÍÏÎÇ¬Î|</vt:lpwstr>
  </property>
  <property fmtid="{D5CDD505-2E9C-101B-9397-08002B2CF9AE}" pid="7" name="BFC3540F">
    <vt:lpwstr>161280</vt:lpwstr>
  </property>
</Properties>
</file>