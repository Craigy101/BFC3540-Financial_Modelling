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2/"/>
    </mc:Choice>
  </mc:AlternateContent>
  <xr:revisionPtr revIDLastSave="0" documentId="13_ncr:1_{6658ACB2-5CB5-F54A-BA70-BAB49D69BA36}" xr6:coauthVersionLast="47" xr6:coauthVersionMax="47" xr10:uidLastSave="{00000000-0000-0000-0000-000000000000}"/>
  <bookViews>
    <workbookView xWindow="0" yWindow="500" windowWidth="28800" windowHeight="17500" firstSheet="1" activeTab="5" xr2:uid="{00000000-000D-0000-FFFF-FFFF00000000}"/>
  </bookViews>
  <sheets>
    <sheet name="Name" sheetId="8" r:id="rId1"/>
    <sheet name="MsgBox" sheetId="4" r:id="rId2"/>
    <sheet name="Output" sheetId="1" r:id="rId3"/>
    <sheet name="Basic Input" sheetId="2" r:id="rId4"/>
    <sheet name="Variables 1" sheetId="3" r:id="rId5"/>
    <sheet name="Variables&amp;Calculations" sheetId="5" r:id="rId6"/>
    <sheet name="1D Arrays" sheetId="6" r:id="rId7"/>
    <sheet name="2D Arrays" sheetId="7" r:id="rId8"/>
    <sheet name="Common Formulas" sheetId="9" r:id="rId9"/>
    <sheet name="other" sheetId="11" state="veryHidden" r:id="rId10"/>
  </sheets>
  <functionGroups builtInGroupCount="19"/>
  <externalReferences>
    <externalReference r:id="rId11"/>
  </externalReferences>
  <definedNames>
    <definedName name="â" hidden="1">other!$BC$20</definedName>
    <definedName name="CustomVariablesStoredValue">#REF!</definedName>
    <definedName name="CustomVariablesValue">#REF!</definedName>
    <definedName name="df_1">MsgBox!$P$17:$S$23</definedName>
    <definedName name="df_2">Output!$I$6:$M$8,Output!$I$10:$K$12,Output!$H$15:$M$21,Output!$I$24:$K$26,Output!$K$29:$M$30</definedName>
    <definedName name="df_3">'Basic Input'!$H$16:$J$18,'Basic Input'!$H$24:$J$26,'Basic Input'!$H$31:$J$33</definedName>
    <definedName name="df_4">'Variables 1'!$V$18:$Z$19,'Variables 1'!$U$32:$W$38</definedName>
    <definedName name="df_5">'Variables&amp;Calculations'!$S$17:$V$20,'Variables&amp;Calculations'!$X$25:$AA$28,'Variables&amp;Calculations'!$Z$31:$AB$35,'Variables&amp;Calculations'!$T$48,'Variables&amp;Calculations'!$T$47:$V$50,'Variables&amp;Calculations'!$S$54:$W$59</definedName>
    <definedName name="df_6">'1D Arrays'!$M$48:$M$50,'1D Arrays'!$K$11,'1D Arrays'!$K$7:$L$10,'1D Arrays'!$L$11,'1D Arrays'!$K$15:$L$17,'1D Arrays'!$K$21:$L$26,'1D Arrays'!$K$39:$L$41,'1D Arrays'!$K$48:$M$53</definedName>
    <definedName name="df_7">'2D Arrays'!$K$41,'2D Arrays'!$G$22:$J$26,'2D Arrays'!$G$30:$I$32,'2D Arrays'!$G$36:$I$38,'2D Arrays'!$D$47:$F$50</definedName>
    <definedName name="df_8">'Common Formulas'!$I$18,'Common Formulas'!$I$15:$J$17,'Common Formulas'!$I$25:$K$28,'Common Formulas'!$I$42:$J$45,'Common Formulas'!$L$58:$L$61</definedName>
    <definedName name="è" hidden="1">other!$DL$58</definedName>
    <definedName name="î" hidden="1">other!$CC$22</definedName>
    <definedName name="input">'Common Formulas'!$I$53:$I$55</definedName>
    <definedName name="input1">'2D Arrays'!$C$22:$E$25</definedName>
    <definedName name="input2">'2D Arrays'!$C$30:$E$31</definedName>
    <definedName name="input3">'2D Arrays'!$C$36:$D$37</definedName>
    <definedName name="input4">'2D Arrays'!$D$42:$E$44</definedName>
    <definedName name="ö" hidden="1">other!$DC$28</definedName>
    <definedName name="output">'Basic Input'!$H$31:$J$32</definedName>
    <definedName name="output1">'2D Arrays'!$G$22:$I$25</definedName>
    <definedName name="output2">'2D Arrays'!$G$30:$I$31</definedName>
    <definedName name="output3">'2D Arrays'!$G$36:$H$37</definedName>
    <definedName name="output4">'2D Arrays'!$D$47:$E$49</definedName>
    <definedName name="output8">Output!$H$15:$K$20</definedName>
    <definedName name="Portfolio_Mean1">'[1]Set 1 - Task 3'!$C$19</definedName>
    <definedName name="Portfolio_Mean2">'[1]Set 2 - Task 3'!$C$19</definedName>
    <definedName name="Portfolio_Mean3">'[1]Set 3 - Task 3'!$C$19</definedName>
    <definedName name="Range1" hidden="1">other!$BD$20</definedName>
    <definedName name="Range2" hidden="1">other!$BG$22</definedName>
    <definedName name="Range3" hidden="1">other!$CT$28</definedName>
    <definedName name="Range4" hidden="1">other!$DH$58</definedName>
    <definedName name="Stock_Data">'Basic Input'!$I$8:$I$9</definedName>
    <definedName name="Stock_Data1">'Variables&amp;Calculations'!$R$42:$S$45</definedName>
    <definedName name="Stock_Date">'Basic Input'!$H$8:$H$9</definedName>
    <definedName name="Stock_Date1">'1D Arrays'!$I$35:$I$37</definedName>
    <definedName name="Stock_Dates">'[1]Set 1 - Task 1'!$B$6:$B$15</definedName>
    <definedName name="Stock1">'[1]Set 1 - Task 1'!$C$5</definedName>
    <definedName name="Stock1_Data">'[1]Set 1 - Task 1'!$C$6:$C$15</definedName>
    <definedName name="Stock1_Proportion">'[1]Set 1 - Task 3'!$C$14</definedName>
    <definedName name="Stock2">'[1]Set 1 - Task 1'!$D$5</definedName>
    <definedName name="Stock2_Data">'[1]Set 1 - Task 1'!$D$6:$D$15</definedName>
    <definedName name="Stock3">'[1]Set 2 - Task 1'!$C$5</definedName>
    <definedName name="Stock3_Data">'[1]Set 2 - Task 1'!$C$6:$C$15</definedName>
    <definedName name="Stock3_Proportion">'[1]Set 2 - Task 3'!$C$14</definedName>
    <definedName name="Stock4">'[1]Set 2 - Task 1'!$D$5</definedName>
    <definedName name="Stock4_Data">'[1]Set 2 - Task 1'!$D$6:$D$15</definedName>
    <definedName name="Stock5">'[1]Set 3 - Task 1'!$C$5</definedName>
    <definedName name="Stock5_Data">'[1]Set 3 - Task 1'!$C$6:$C$15</definedName>
    <definedName name="Stock5_Proportion">'[1]Set 3 - Task 3'!$C$14</definedName>
    <definedName name="Stock6">'[1]Set 3 - Task 1'!$D$5</definedName>
    <definedName name="Stock6_Data">'[1]Set 3 - Task 1'!$D$6:$D$15</definedName>
    <definedName name="working">Output!$E$34:$S$59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2" i="9" l="1"/>
  <c r="I25" i="9"/>
  <c r="I15" i="9"/>
  <c r="V55" i="5"/>
  <c r="V56" i="5"/>
  <c r="V54" i="5"/>
  <c r="T47" i="5"/>
  <c r="AA34" i="5"/>
  <c r="AA33" i="5"/>
  <c r="AA32" i="5"/>
  <c r="X27" i="5"/>
  <c r="X26" i="5"/>
  <c r="T20" i="5"/>
  <c r="T19" i="5"/>
  <c r="T18" i="5"/>
  <c r="M49" i="6"/>
  <c r="M50" i="6"/>
  <c r="M48" i="6"/>
  <c r="K39" i="6"/>
  <c r="I34" i="6" a="1"/>
  <c r="T32" i="3" a="1"/>
  <c r="T25" i="3" a="1"/>
  <c r="U25" i="3" a="1"/>
  <c r="T26" i="3" l="1"/>
  <c r="I36" i="6"/>
  <c r="I37" i="6"/>
  <c r="T25" i="3"/>
  <c r="U25" i="3"/>
  <c r="C48" i="7"/>
  <c r="C47" i="7"/>
  <c r="E46" i="7"/>
  <c r="D46" i="7"/>
  <c r="J37" i="6"/>
  <c r="J36" i="6"/>
  <c r="J35" i="6"/>
  <c r="I35" i="6"/>
  <c r="J34" i="6"/>
  <c r="I34" i="6"/>
  <c r="U26" i="3"/>
  <c r="T33" i="3"/>
  <c r="T32" i="3"/>
  <c r="C49" i="7"/>
  <c r="K36" i="6" l="1"/>
  <c r="V26" i="3"/>
  <c r="K37" i="6"/>
  <c r="J48" i="6" a="1"/>
  <c r="K35" i="6"/>
  <c r="J9" i="2"/>
  <c r="T43" i="5"/>
  <c r="T44" i="5"/>
  <c r="T45" i="5"/>
  <c r="J49" i="6" l="1"/>
  <c r="J50" i="6"/>
  <c r="J48" i="6"/>
</calcChain>
</file>

<file path=xl/sharedStrings.xml><?xml version="1.0" encoding="utf-8"?>
<sst xmlns="http://schemas.openxmlformats.org/spreadsheetml/2006/main" count="187" uniqueCount="134">
  <si>
    <t>Real World Problem:</t>
  </si>
  <si>
    <t>Inputting data from the spreadsheet</t>
  </si>
  <si>
    <t>Close Price</t>
  </si>
  <si>
    <t>Return</t>
  </si>
  <si>
    <t>Date</t>
  </si>
  <si>
    <t>While doing an in-tute test, you have accidentally entered values into the wrong part of a locked spreadsheet.</t>
  </si>
  <si>
    <t>Using VBA, you need to delete the rubbish below before submitting your work.</t>
  </si>
  <si>
    <t>First store the share price information into variables and then output it into the spreadsheet</t>
  </si>
  <si>
    <t>Your First VBA Program</t>
  </si>
  <si>
    <t>Follow the instructional video to create a Message Box that says "Hello World"</t>
  </si>
  <si>
    <t>2*3=</t>
  </si>
  <si>
    <t>2*7^6=</t>
  </si>
  <si>
    <t>45^3.14157681234558762=</t>
  </si>
  <si>
    <t>Perform the following calculations, first storing the numbers into variables</t>
  </si>
  <si>
    <t>+</t>
  </si>
  <si>
    <t>=</t>
  </si>
  <si>
    <t>/</t>
  </si>
  <si>
    <t>*</t>
  </si>
  <si>
    <t>Close</t>
  </si>
  <si>
    <t>Average return using Excel formula:</t>
  </si>
  <si>
    <t>Compare your two answers and make sure they are the same.</t>
  </si>
  <si>
    <t>Your calculation using the Excel formula "=Average()" is a prototype for your VBA program.</t>
  </si>
  <si>
    <t>One-Dimensional Arrays</t>
  </si>
  <si>
    <t>Two-Dimensional Arrays</t>
  </si>
  <si>
    <t>Store the following numbers into an array and the output them into the blue cells below</t>
  </si>
  <si>
    <t>Store the following strings into an array and the output them into the blue cells below</t>
  </si>
  <si>
    <t>This time, you must store the returns into an array!</t>
  </si>
  <si>
    <t>Into each cell below, output [return for that day] - [average return]</t>
  </si>
  <si>
    <t>You must store the returns into an array.</t>
  </si>
  <si>
    <t>Return - Average Return</t>
  </si>
  <si>
    <t>Create a Message Box that says "Goodbye Memorisation".</t>
  </si>
  <si>
    <t>Store the following numbers into a two-dimensional array and then output them into the blue cells below.</t>
  </si>
  <si>
    <t>Arrays</t>
  </si>
  <si>
    <t>Will be</t>
  </si>
  <si>
    <t>Very Useful</t>
  </si>
  <si>
    <t>!!! :-)</t>
  </si>
  <si>
    <t>later in the semester</t>
  </si>
  <si>
    <t>Next week</t>
  </si>
  <si>
    <t>less</t>
  </si>
  <si>
    <t>repetitive</t>
  </si>
  <si>
    <t>entries</t>
  </si>
  <si>
    <t>Store the following strings into a two-dimensional array and then output them into the blue cells below.</t>
  </si>
  <si>
    <t>Store the following retuns into a two-dimensional array and then output them into the blue cells below.</t>
  </si>
  <si>
    <t>Fill the blue cells with the number 8</t>
  </si>
  <si>
    <t>Put the number 11 into the blue cell below</t>
  </si>
  <si>
    <t>Introduction to Variables</t>
  </si>
  <si>
    <t>Performing Calculations and Using Variables</t>
  </si>
  <si>
    <t>This time, there is nothing to copy verbatim. So you will have to figure this one out yourself :-)</t>
  </si>
  <si>
    <t>You must check your answers with an Excel formula in the yellow cells</t>
  </si>
  <si>
    <t>Name:</t>
  </si>
  <si>
    <t>Firstly, do it cell by cell</t>
  </si>
  <si>
    <t>Secondly, do it as one range of cells</t>
  </si>
  <si>
    <t>Store the following numbers into an array and then output them into the blue cells below</t>
  </si>
  <si>
    <t>2^0.13018586</t>
  </si>
  <si>
    <t>2^0.9167433</t>
  </si>
  <si>
    <t>2^0.7830457</t>
  </si>
  <si>
    <t>Find the square root of the following numbers:</t>
  </si>
  <si>
    <t>Basic finance formulas</t>
  </si>
  <si>
    <t>is re-invested back into the bank account (i.e. use compound interest). Make sure to prototype your code in the yellow cell and output your subroutine to the blue cell!</t>
  </si>
  <si>
    <t>PV ($)</t>
  </si>
  <si>
    <t>Interest Rate (% p.a.)</t>
  </si>
  <si>
    <t>Time (years)</t>
  </si>
  <si>
    <t>FV ($) - Prototype</t>
  </si>
  <si>
    <t>Recall that this is the compound interest formula</t>
  </si>
  <si>
    <t>Now, assume you are owed $1000 due to be paid in exactly 1 years time. If the interest rate is 10%, what is the present value of this future cashflow?</t>
  </si>
  <si>
    <t>FV ($)</t>
  </si>
  <si>
    <t>Time (Years)</t>
  </si>
  <si>
    <t>PV ($) - Prototype</t>
  </si>
  <si>
    <t xml:space="preserve">The third task is to calculate the accumulated value of $100 received at the end of each year for the next 25 years. Assume the interest rate is 5% p.a. </t>
  </si>
  <si>
    <t>Note - This is simply finding the accumulated value of an ordinary annuity! The formula is provided in case you have forgotten it.</t>
  </si>
  <si>
    <t>R ($)</t>
  </si>
  <si>
    <t>Ret#1</t>
  </si>
  <si>
    <t>Ret#2</t>
  </si>
  <si>
    <t>Ret#3</t>
  </si>
  <si>
    <t>Assume you invest a lump sum of $1000 into a bank account paying 5% interest p.a. Your first task is to calculate what this lump sum accumulates to over 10 years if all interest</t>
  </si>
  <si>
    <t>Hint#1 - the answer is approx. 0.024</t>
  </si>
  <si>
    <t>From your previous studies in finance you should be familiar with a number of concepts. In this sheet you will implement a number of commonly used formulas using VBA</t>
  </si>
  <si>
    <t>The formula for the sample standard deviation is provided incase you have forgotten it</t>
  </si>
  <si>
    <t>Note - Do not change the formatting of any of these cells!</t>
  </si>
  <si>
    <t>Authcate:</t>
  </si>
  <si>
    <t>Source: Yahoo Finance</t>
  </si>
  <si>
    <t>You must make use of subroutines in the blue cells and functions in the green cells</t>
  </si>
  <si>
    <t>Average return using Subroutine:</t>
  </si>
  <si>
    <t>Average return using Function:</t>
  </si>
  <si>
    <t>Output your answer using subroutines into the blue cells,</t>
  </si>
  <si>
    <t>using functions in the green cells, prototype in the yellow cells.</t>
  </si>
  <si>
    <t>Perform the following calculations in VBA using subroutines</t>
  </si>
  <si>
    <t>Perform the following long calculations using subroutines</t>
  </si>
  <si>
    <t xml:space="preserve">First calculate the average return for FMG stock with the =Average() formula and place the value into the yellow cell below. </t>
  </si>
  <si>
    <t>Then do the same thing in VBA and output your answer into the blue and green cell below.</t>
  </si>
  <si>
    <t>Compare your answers and make sure they are the same.</t>
  </si>
  <si>
    <t>Your calculation using the Excel formula "=Average()" is a prototype for your VBA programs.</t>
  </si>
  <si>
    <t>Average return using Subroutines:</t>
  </si>
  <si>
    <t>Then do the same thing in VBA and output your answer into the blue and green cells below.</t>
  </si>
  <si>
    <t>"Average" using Excel Formula:</t>
  </si>
  <si>
    <t>Average return using Functions</t>
  </si>
  <si>
    <t>Subroutines</t>
  </si>
  <si>
    <t>Functions</t>
  </si>
  <si>
    <t>Prototype</t>
  </si>
  <si>
    <t>FV ($) - Subroutine</t>
  </si>
  <si>
    <t>FV ($) - Function</t>
  </si>
  <si>
    <t>PV ($) - Function</t>
  </si>
  <si>
    <t>PV ($) - Subroutine</t>
  </si>
  <si>
    <t>Hint#2 - the x with the line over it the formula represents the arithmetic average of the returns</t>
  </si>
  <si>
    <t>Sample Standard deviation using Subroutine:</t>
  </si>
  <si>
    <t>Sample Standard deviation using Function:</t>
  </si>
  <si>
    <t>Write "Hello" and "World" in the corresponding cells below</t>
  </si>
  <si>
    <t>Write "Goodbye" in the cell below</t>
  </si>
  <si>
    <t>Write "Memorisation" in the cell below</t>
  </si>
  <si>
    <t>Outputting into the spreadsheet with Range().Value</t>
  </si>
  <si>
    <t>Store the values 55, 6.131567, 7 and "Yo! Yo! Yo!" into variables and then output the numbers into the corresponding blue cells below.</t>
  </si>
  <si>
    <t xml:space="preserve">The final task is to calculate the sample standard deviation of the returns below. </t>
  </si>
  <si>
    <t>Use a VBA subroutine to output the sample standard deviation to the blue cells</t>
  </si>
  <si>
    <t>Use a VBA function to output the sample standard deviation to the green cells</t>
  </si>
  <si>
    <t>File:</t>
  </si>
  <si>
    <t>Lastly, 1) rename the blue cells below as "output" and output as one range of cells</t>
  </si>
  <si>
    <t>VBA1</t>
  </si>
  <si>
    <t>Copy the share price information for XASX:GEM into the blue cells</t>
  </si>
  <si>
    <t>XASX:BCB</t>
  </si>
  <si>
    <t>XASX:PLS</t>
  </si>
  <si>
    <t>bWIhVKbnSSDwTu9Q3O7ChTQJfb2Sw3yCGXxzAMFp7UsF8vXiigmUMV5KJdhka4MDuZc0Yeu7WmWGnDCjNiRW1WkcyvMmF61FZrG2DfZ8AnBIRFr1206YgoOedw14uOgXEsvKsxEAp5aa6GV3Q2UqKq3wIyP</t>
  </si>
  <si>
    <t>Grant Fullston</t>
  </si>
  <si>
    <t>gful0002</t>
  </si>
  <si>
    <t>Hello</t>
  </si>
  <si>
    <t>World</t>
  </si>
  <si>
    <t>Goodbye</t>
  </si>
  <si>
    <t>Memorisation</t>
  </si>
  <si>
    <t>Yo! Yo! Yo!</t>
  </si>
  <si>
    <t>0.0465200156348929</t>
  </si>
  <si>
    <t>-0.0945088977101707</t>
  </si>
  <si>
    <t>0</t>
  </si>
  <si>
    <t>-0.0155386034277792</t>
  </si>
  <si>
    <t>-0.287682072451781</t>
  </si>
  <si>
    <t>0.0607562094210724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</si>
</sst>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4" formatCode="&quot;$&quot;#,##0.0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5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9" fontId="9" fillId="0" borderId="0" applyFon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horizontal="center"/>
    </xf>
    <xf numFmtId="0" fontId="6" fillId="4" borderId="0" xfId="0" applyFont="1" applyFill="1"/>
    <xf numFmtId="14" fontId="0" fillId="2" borderId="0" xfId="0" applyNumberFormat="1" applyFill="1"/>
    <xf numFmtId="6" fontId="0" fillId="0" borderId="0" xfId="0" applyNumberFormat="1"/>
    <xf numFmtId="9" fontId="0" fillId="0" borderId="0" xfId="0" applyNumberFormat="1"/>
    <xf numFmtId="8" fontId="0" fillId="0" borderId="0" xfId="0" applyNumberFormat="1"/>
    <xf numFmtId="0" fontId="1" fillId="0" borderId="0" xfId="0" quotePrefix="1" applyFont="1"/>
    <xf numFmtId="0" fontId="0" fillId="3" borderId="0" xfId="0" applyFill="1" applyProtection="1">
      <protection locked="0"/>
    </xf>
    <xf numFmtId="0" fontId="7" fillId="4" borderId="0" xfId="1" applyFill="1"/>
    <xf numFmtId="164" fontId="0" fillId="3" borderId="0" xfId="0" applyNumberFormat="1" applyFill="1" applyProtection="1">
      <protection locked="0"/>
    </xf>
    <xf numFmtId="164" fontId="0" fillId="2" borderId="0" xfId="0" applyNumberFormat="1" applyFill="1"/>
    <xf numFmtId="4" fontId="0" fillId="3" borderId="0" xfId="0" applyNumberFormat="1" applyFill="1" applyProtection="1">
      <protection locked="0"/>
    </xf>
    <xf numFmtId="4" fontId="0" fillId="2" borderId="0" xfId="0" applyNumberFormat="1" applyFill="1"/>
    <xf numFmtId="2" fontId="0" fillId="0" borderId="0" xfId="0" applyNumberFormat="1"/>
    <xf numFmtId="0" fontId="0" fillId="4" borderId="0" xfId="0" applyFill="1" applyProtection="1">
      <protection locked="0"/>
    </xf>
    <xf numFmtId="0" fontId="1" fillId="0" borderId="0" xfId="0" applyFont="1" applyAlignment="1">
      <alignment horizontal="center" vertical="center"/>
    </xf>
    <xf numFmtId="164" fontId="0" fillId="4" borderId="0" xfId="0" applyNumberFormat="1" applyFill="1" applyProtection="1">
      <protection locked="0"/>
    </xf>
    <xf numFmtId="4" fontId="0" fillId="4" borderId="0" xfId="0" applyNumberFormat="1" applyFill="1" applyProtection="1">
      <protection locked="0"/>
    </xf>
    <xf numFmtId="22" fontId="0" fillId="0" borderId="0" xfId="0" applyNumberFormat="1"/>
    <xf numFmtId="0" fontId="0" fillId="5" borderId="0" xfId="0" applyFill="1"/>
  </cellXfs>
  <cellStyles count="5">
    <cellStyle name="Hyperlink" xfId="1" builtinId="8"/>
    <cellStyle name="Hyperlink 2" xfId="2" xr:uid="{00000000-0005-0000-0000-000001000000}"/>
    <cellStyle name="Normal" xfId="0" builtinId="0"/>
    <cellStyle name="Normal 2" xfId="3" xr:uid="{00000000-0005-0000-0000-000003000000}"/>
    <cellStyle name="Percent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66675</xdr:colOff>
      <xdr:row>11</xdr:row>
      <xdr:rowOff>38100</xdr:rowOff>
    </xdr:from>
    <xdr:to>
      <xdr:col>15</xdr:col>
      <xdr:colOff>228600</xdr:colOff>
      <xdr:row>15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29050" y="2047875"/>
          <a:ext cx="26003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28575</xdr:colOff>
      <xdr:row>31</xdr:row>
      <xdr:rowOff>9525</xdr:rowOff>
    </xdr:from>
    <xdr:to>
      <xdr:col>10</xdr:col>
      <xdr:colOff>255197</xdr:colOff>
      <xdr:row>35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5638800"/>
          <a:ext cx="2657475" cy="79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34635</xdr:colOff>
      <xdr:row>52</xdr:row>
      <xdr:rowOff>25979</xdr:rowOff>
    </xdr:from>
    <xdr:to>
      <xdr:col>16</xdr:col>
      <xdr:colOff>340785</xdr:colOff>
      <xdr:row>56</xdr:row>
      <xdr:rowOff>149928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47703" y="9083388"/>
          <a:ext cx="2730696" cy="8859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BFC3540%20S1_2018/Slave%20SS%20-%20No%20Code/W1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  <cell r="D5" t="str">
            <v>S32</v>
          </cell>
        </row>
        <row r="6">
          <cell r="B6">
            <v>43009</v>
          </cell>
          <cell r="C6">
            <v>0.21205871888971681</v>
          </cell>
          <cell r="D6">
            <v>1.8182319083190547E-2</v>
          </cell>
        </row>
        <row r="7">
          <cell r="B7">
            <v>43016</v>
          </cell>
          <cell r="C7">
            <v>2.5158559636154931E-2</v>
          </cell>
          <cell r="D7">
            <v>-3.0490166757787276E-2</v>
          </cell>
        </row>
        <row r="8">
          <cell r="B8">
            <v>43023</v>
          </cell>
          <cell r="C8">
            <v>-7.0769070888207261E-2</v>
          </cell>
          <cell r="D8">
            <v>-1.2461220437812002E-2</v>
          </cell>
        </row>
        <row r="9">
          <cell r="B9">
            <v>43030</v>
          </cell>
          <cell r="C9">
            <v>3.9220713153281329E-2</v>
          </cell>
          <cell r="D9">
            <v>8.1247672272879781E-2</v>
          </cell>
        </row>
        <row r="10">
          <cell r="B10">
            <v>43037</v>
          </cell>
          <cell r="C10">
            <v>8.0042707673536356E-2</v>
          </cell>
          <cell r="D10">
            <v>4.2439183275156722E-2</v>
          </cell>
        </row>
        <row r="11">
          <cell r="B11">
            <v>43044</v>
          </cell>
          <cell r="C11">
            <v>0.1931112642153347</v>
          </cell>
          <cell r="D11">
            <v>-7.1766798369676685E-2</v>
          </cell>
        </row>
        <row r="12">
          <cell r="B12">
            <v>43051</v>
          </cell>
          <cell r="C12">
            <v>-0.10265415406008321</v>
          </cell>
          <cell r="D12">
            <v>-1.8018505502678365E-2</v>
          </cell>
        </row>
        <row r="13">
          <cell r="B13">
            <v>43058</v>
          </cell>
          <cell r="C13">
            <v>5.2643733485421881E-2</v>
          </cell>
          <cell r="D13">
            <v>3.5718082602079246E-2</v>
          </cell>
        </row>
        <row r="14">
          <cell r="B14">
            <v>43065</v>
          </cell>
          <cell r="C14">
            <v>5.4876610225834302E-2</v>
          </cell>
          <cell r="D14">
            <v>-6.3369613932589261E-2</v>
          </cell>
        </row>
        <row r="15">
          <cell r="B15">
            <v>43072</v>
          </cell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  <cell r="D5" t="str">
            <v>BEN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  <cell r="D5" t="str">
            <v>SCG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>
            <v>0</v>
          </cell>
        </row>
      </sheetData>
      <sheetData sheetId="8">
        <row r="14">
          <cell r="C14">
            <v>0.5</v>
          </cell>
        </row>
        <row r="19">
          <cell r="C19">
            <v>0</v>
          </cell>
        </row>
      </sheetData>
      <sheetData sheetId="9">
        <row r="14">
          <cell r="C14">
            <v>0.5</v>
          </cell>
        </row>
        <row r="19">
          <cell r="C19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"/>
  <sheetViews>
    <sheetView zoomScale="89" zoomScaleNormal="50" workbookViewId="0">
      <selection activeCell="H9" sqref="H9"/>
    </sheetView>
  </sheetViews>
  <sheetFormatPr baseColWidth="10" defaultColWidth="8.83203125" defaultRowHeight="15" x14ac:dyDescent="0.2"/>
  <cols>
    <col min="1" max="1" width="10.5" bestFit="1" customWidth="1"/>
  </cols>
  <sheetData>
    <row r="1" spans="1:6" ht="16" x14ac:dyDescent="0.2">
      <c r="A1" s="10" t="s">
        <v>49</v>
      </c>
      <c r="B1" s="10" t="s">
        <v>121</v>
      </c>
      <c r="C1" s="10"/>
      <c r="D1" s="10"/>
      <c r="E1" s="10"/>
      <c r="F1" s="10"/>
    </row>
    <row r="2" spans="1:6" ht="16" x14ac:dyDescent="0.2">
      <c r="A2" s="10" t="s">
        <v>79</v>
      </c>
      <c r="B2" s="17" t="s">
        <v>122</v>
      </c>
      <c r="C2" s="10"/>
      <c r="D2" s="10"/>
      <c r="E2" s="10"/>
      <c r="F2" s="10"/>
    </row>
    <row r="3" spans="1:6" x14ac:dyDescent="0.2">
      <c r="A3" t="s">
        <v>114</v>
      </c>
      <c r="B3" t="s">
        <v>116</v>
      </c>
    </row>
  </sheetData>
  <sheetProtection algorithmName="SHA-512" hashValue="Gc+wG5Xnd54xLtTUWvYpC4+YnnuNS77Ul2J9ukLNsmyb0NZLSDYbWoFzfIsgEEDrE61kV9nLbazQyFE6qWUF5A==" saltValue="KJU4TKagPs5GS4WjnGMdVw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L7:L15"/>
  <sheetViews>
    <sheetView topLeftCell="H1" zoomScale="115" zoomScaleNormal="50" workbookViewId="0">
      <selection activeCell="L14" sqref="L14"/>
    </sheetView>
  </sheetViews>
  <sheetFormatPr baseColWidth="10" defaultColWidth="8.83203125" defaultRowHeight="15" x14ac:dyDescent="0.2"/>
  <sheetData>
    <row r="7" spans="12:12" ht="24" x14ac:dyDescent="0.3">
      <c r="L7" s="3" t="s">
        <v>8</v>
      </c>
    </row>
    <row r="9" spans="12:12" x14ac:dyDescent="0.2">
      <c r="L9" s="1" t="s">
        <v>9</v>
      </c>
    </row>
    <row r="14" spans="12:12" x14ac:dyDescent="0.2">
      <c r="L14" s="1" t="s">
        <v>30</v>
      </c>
    </row>
    <row r="15" spans="12:12" x14ac:dyDescent="0.2">
      <c r="L15" s="1" t="s">
        <v>47</v>
      </c>
    </row>
  </sheetData>
  <sheetProtection algorithmName="SHA-512" hashValue="9hQXAqXHPECNqcGEU3Z3YhVcIg5sNJJAb4wgmBG5uno0nEoCNdbMduLM7XmAhD2MjOY+FGdlY4cAykkqWICuMA==" saltValue="NvPEt+CbI+k8oQ4Upd57l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H3:K33"/>
  <sheetViews>
    <sheetView topLeftCell="D16" zoomScale="140" zoomScaleNormal="50" workbookViewId="0">
      <selection activeCell="O30" sqref="O30"/>
    </sheetView>
  </sheetViews>
  <sheetFormatPr baseColWidth="10" defaultColWidth="8.83203125" defaultRowHeight="15" x14ac:dyDescent="0.2"/>
  <cols>
    <col min="9" max="9" width="12.5" customWidth="1"/>
  </cols>
  <sheetData>
    <row r="3" spans="8:11" ht="24" x14ac:dyDescent="0.3">
      <c r="H3" s="3" t="s">
        <v>109</v>
      </c>
    </row>
    <row r="5" spans="8:11" x14ac:dyDescent="0.2">
      <c r="H5" s="1" t="s">
        <v>106</v>
      </c>
    </row>
    <row r="7" spans="8:11" x14ac:dyDescent="0.2">
      <c r="I7" s="2" t="s">
        <v>123</v>
      </c>
      <c r="J7" s="2" t="s">
        <v>124</v>
      </c>
    </row>
    <row r="9" spans="8:11" x14ac:dyDescent="0.2">
      <c r="H9" s="1" t="s">
        <v>44</v>
      </c>
    </row>
    <row r="11" spans="8:11" x14ac:dyDescent="0.2">
      <c r="I11" s="2">
        <v>11</v>
      </c>
    </row>
    <row r="13" spans="8:11" x14ac:dyDescent="0.2">
      <c r="H13" s="1" t="s">
        <v>43</v>
      </c>
    </row>
    <row r="15" spans="8:11" x14ac:dyDescent="0.2">
      <c r="H15" s="2">
        <v>8</v>
      </c>
      <c r="I15" s="2">
        <v>8</v>
      </c>
      <c r="J15" s="2">
        <v>8</v>
      </c>
      <c r="K15" s="2">
        <v>8</v>
      </c>
    </row>
    <row r="16" spans="8:11" x14ac:dyDescent="0.2">
      <c r="H16" s="2">
        <v>8</v>
      </c>
      <c r="I16" s="2">
        <v>8</v>
      </c>
      <c r="J16" s="2">
        <v>8</v>
      </c>
      <c r="K16" s="2">
        <v>8</v>
      </c>
    </row>
    <row r="17" spans="8:11" x14ac:dyDescent="0.2">
      <c r="H17" s="2">
        <v>8</v>
      </c>
      <c r="I17" s="2">
        <v>8</v>
      </c>
      <c r="J17" s="2">
        <v>8</v>
      </c>
      <c r="K17" s="2">
        <v>8</v>
      </c>
    </row>
    <row r="18" spans="8:11" x14ac:dyDescent="0.2">
      <c r="H18" s="2">
        <v>8</v>
      </c>
      <c r="I18" s="2">
        <v>8</v>
      </c>
      <c r="J18" s="2">
        <v>8</v>
      </c>
      <c r="K18" s="2">
        <v>8</v>
      </c>
    </row>
    <row r="19" spans="8:11" x14ac:dyDescent="0.2">
      <c r="H19" s="2">
        <v>8</v>
      </c>
      <c r="I19" s="2">
        <v>8</v>
      </c>
      <c r="J19" s="2">
        <v>8</v>
      </c>
      <c r="K19" s="2">
        <v>8</v>
      </c>
    </row>
    <row r="20" spans="8:11" x14ac:dyDescent="0.2">
      <c r="H20" s="2">
        <v>8</v>
      </c>
      <c r="I20" s="2">
        <v>8</v>
      </c>
      <c r="J20" s="2">
        <v>8</v>
      </c>
      <c r="K20" s="2">
        <v>8</v>
      </c>
    </row>
    <row r="23" spans="8:11" x14ac:dyDescent="0.2">
      <c r="H23" s="1" t="s">
        <v>107</v>
      </c>
    </row>
    <row r="25" spans="8:11" x14ac:dyDescent="0.2">
      <c r="I25" s="2" t="s">
        <v>125</v>
      </c>
    </row>
    <row r="27" spans="8:11" x14ac:dyDescent="0.2">
      <c r="H27" s="1" t="s">
        <v>108</v>
      </c>
    </row>
    <row r="29" spans="8:11" x14ac:dyDescent="0.2">
      <c r="K29" s="2" t="s">
        <v>126</v>
      </c>
    </row>
    <row r="31" spans="8:11" x14ac:dyDescent="0.2">
      <c r="H31" s="1" t="s">
        <v>0</v>
      </c>
    </row>
    <row r="32" spans="8:11" x14ac:dyDescent="0.2">
      <c r="H32" s="1" t="s">
        <v>5</v>
      </c>
    </row>
    <row r="33" spans="8:8" x14ac:dyDescent="0.2">
      <c r="H33" s="1" t="s">
        <v>6</v>
      </c>
    </row>
  </sheetData>
  <sheetProtection algorithmName="SHA-512" hashValue="GhTckKU+CO2nyriAOZ65USW7XLEfzN2D2mZ/kgxB91thYN8nZc2XtJzQFmIy/so6P6NLt5rkZmbBb8y7Xc30HA==" saltValue="UdUj3Ek+w8PoAIzjrdGLO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H3:J32"/>
  <sheetViews>
    <sheetView topLeftCell="E16" zoomScale="150" zoomScaleNormal="50" workbookViewId="0">
      <selection activeCell="K14" sqref="K14"/>
    </sheetView>
  </sheetViews>
  <sheetFormatPr baseColWidth="10" defaultColWidth="8.83203125" defaultRowHeight="15" x14ac:dyDescent="0.2"/>
  <cols>
    <col min="8" max="8" width="13.83203125" customWidth="1"/>
    <col min="9" max="9" width="11.5" customWidth="1"/>
  </cols>
  <sheetData>
    <row r="3" spans="8:10" ht="24" x14ac:dyDescent="0.3">
      <c r="H3" s="3" t="s">
        <v>1</v>
      </c>
    </row>
    <row r="5" spans="8:10" x14ac:dyDescent="0.2">
      <c r="H5" s="1" t="s">
        <v>117</v>
      </c>
    </row>
    <row r="7" spans="8:10" x14ac:dyDescent="0.2">
      <c r="H7" s="1" t="s">
        <v>4</v>
      </c>
      <c r="I7" s="1" t="s">
        <v>2</v>
      </c>
      <c r="J7" s="1" t="s">
        <v>3</v>
      </c>
    </row>
    <row r="8" spans="8:10" x14ac:dyDescent="0.2">
      <c r="H8" s="4">
        <v>44998</v>
      </c>
      <c r="I8" s="22">
        <v>1.175</v>
      </c>
    </row>
    <row r="9" spans="8:10" x14ac:dyDescent="0.2">
      <c r="H9" s="4">
        <v>45005</v>
      </c>
      <c r="I9" s="22">
        <v>1.155</v>
      </c>
      <c r="J9">
        <f>LN(I9/I8)</f>
        <v>-1.7167803622365446E-2</v>
      </c>
    </row>
    <row r="11" spans="8:10" x14ac:dyDescent="0.2">
      <c r="H11" t="s">
        <v>80</v>
      </c>
    </row>
    <row r="13" spans="8:10" x14ac:dyDescent="0.2">
      <c r="H13" s="7" t="s">
        <v>50</v>
      </c>
    </row>
    <row r="15" spans="8:10" x14ac:dyDescent="0.2">
      <c r="H15" s="1" t="s">
        <v>4</v>
      </c>
      <c r="I15" s="1" t="s">
        <v>2</v>
      </c>
      <c r="J15" s="1" t="s">
        <v>3</v>
      </c>
    </row>
    <row r="16" spans="8:10" x14ac:dyDescent="0.2">
      <c r="H16" s="11">
        <v>44998</v>
      </c>
      <c r="I16" s="2">
        <v>1.175</v>
      </c>
      <c r="J16" s="2"/>
    </row>
    <row r="17" spans="8:10" x14ac:dyDescent="0.2">
      <c r="H17" s="11">
        <v>45005</v>
      </c>
      <c r="I17" s="2">
        <v>1.155</v>
      </c>
      <c r="J17" s="2">
        <v>-1.7167803622365446E-2</v>
      </c>
    </row>
    <row r="21" spans="8:10" x14ac:dyDescent="0.2">
      <c r="H21" s="7" t="s">
        <v>51</v>
      </c>
    </row>
    <row r="23" spans="8:10" x14ac:dyDescent="0.2">
      <c r="H23" s="1" t="s">
        <v>4</v>
      </c>
      <c r="I23" s="1" t="s">
        <v>2</v>
      </c>
      <c r="J23" s="1" t="s">
        <v>3</v>
      </c>
    </row>
    <row r="24" spans="8:10" x14ac:dyDescent="0.2">
      <c r="H24" s="11">
        <v>44998</v>
      </c>
      <c r="I24" s="2">
        <v>1.175</v>
      </c>
      <c r="J24" s="2"/>
    </row>
    <row r="25" spans="8:10" x14ac:dyDescent="0.2">
      <c r="H25" s="11">
        <v>45005</v>
      </c>
      <c r="I25" s="2">
        <v>1.155</v>
      </c>
      <c r="J25" s="2">
        <v>-1.7167803622365446E-2</v>
      </c>
    </row>
    <row r="28" spans="8:10" x14ac:dyDescent="0.2">
      <c r="H28" s="7" t="s">
        <v>115</v>
      </c>
    </row>
    <row r="30" spans="8:10" x14ac:dyDescent="0.2">
      <c r="H30" s="1" t="s">
        <v>4</v>
      </c>
      <c r="I30" s="1" t="s">
        <v>2</v>
      </c>
      <c r="J30" s="1" t="s">
        <v>3</v>
      </c>
    </row>
    <row r="31" spans="8:10" x14ac:dyDescent="0.2">
      <c r="H31" s="11">
        <v>44998</v>
      </c>
      <c r="I31" s="2">
        <v>1.175</v>
      </c>
      <c r="J31" s="2"/>
    </row>
    <row r="32" spans="8:10" x14ac:dyDescent="0.2">
      <c r="H32" s="11">
        <v>45005</v>
      </c>
      <c r="I32" s="2">
        <v>1.155</v>
      </c>
      <c r="J32" s="2">
        <v>-1.7167803622365446E-2</v>
      </c>
    </row>
  </sheetData>
  <sheetProtection algorithmName="SHA-512" hashValue="Hyi3s1RW3owHTEU28HWnUtkkmNTJ2sdSf6ZY6rw9AT4kXjLdG2MEE46Hg/tCUR/dOipakzFkxNT37M5P4BSGaA==" saltValue="/TnS858xxxpfAL18kwrRCw==" spinCount="100000" sheet="1" objects="1" scenarios="1"/>
  <sortState xmlns:xlrd2="http://schemas.microsoft.com/office/spreadsheetml/2017/richdata2" ref="H8:I11">
    <sortCondition ref="H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T15:Y33"/>
  <sheetViews>
    <sheetView topLeftCell="B45" zoomScale="141" zoomScaleNormal="50" workbookViewId="0">
      <selection activeCell="W32" sqref="W32"/>
    </sheetView>
  </sheetViews>
  <sheetFormatPr baseColWidth="10" defaultColWidth="8.83203125" defaultRowHeight="15" x14ac:dyDescent="0.2"/>
  <cols>
    <col min="20" max="20" width="11.5" customWidth="1"/>
    <col min="21" max="21" width="11.83203125" customWidth="1"/>
  </cols>
  <sheetData>
    <row r="15" spans="20:20" ht="24" x14ac:dyDescent="0.3">
      <c r="T15" s="3" t="s">
        <v>45</v>
      </c>
    </row>
    <row r="17" spans="20:25" x14ac:dyDescent="0.2">
      <c r="T17" s="1" t="s">
        <v>110</v>
      </c>
    </row>
    <row r="19" spans="20:25" x14ac:dyDescent="0.2">
      <c r="V19" s="2">
        <v>55</v>
      </c>
      <c r="W19" s="2">
        <v>6.1315670000000004</v>
      </c>
      <c r="X19" s="2">
        <v>7</v>
      </c>
      <c r="Y19" s="2" t="s">
        <v>127</v>
      </c>
    </row>
    <row r="22" spans="20:25" x14ac:dyDescent="0.2">
      <c r="T22" s="1" t="s">
        <v>7</v>
      </c>
    </row>
    <row r="24" spans="20:25" x14ac:dyDescent="0.2">
      <c r="T24" s="1" t="s">
        <v>4</v>
      </c>
      <c r="U24" s="1" t="s">
        <v>2</v>
      </c>
      <c r="V24" s="1" t="s">
        <v>3</v>
      </c>
    </row>
    <row r="25" spans="20:25" x14ac:dyDescent="0.2">
      <c r="T25" s="4">
        <f t="array" ref="T25:T26">Stock_Date</f>
        <v>44998</v>
      </c>
      <c r="U25">
        <f t="array" ref="U25:U26">Stock_Data</f>
        <v>1.175</v>
      </c>
      <c r="V25" s="4"/>
    </row>
    <row r="26" spans="20:25" x14ac:dyDescent="0.2">
      <c r="T26" s="4">
        <v>45005</v>
      </c>
      <c r="U26">
        <v>1.155</v>
      </c>
      <c r="V26">
        <f>LN(U26/U25)</f>
        <v>-1.7167803622365446E-2</v>
      </c>
    </row>
    <row r="28" spans="20:25" x14ac:dyDescent="0.2">
      <c r="T28" t="s">
        <v>80</v>
      </c>
    </row>
    <row r="31" spans="20:25" x14ac:dyDescent="0.2">
      <c r="T31" s="1" t="s">
        <v>4</v>
      </c>
      <c r="U31" s="1" t="s">
        <v>2</v>
      </c>
      <c r="V31" s="1" t="s">
        <v>3</v>
      </c>
    </row>
    <row r="32" spans="20:25" x14ac:dyDescent="0.2">
      <c r="T32" s="4">
        <f t="array" ref="T32:T33">Stock_Date</f>
        <v>44998</v>
      </c>
      <c r="U32" s="2">
        <v>1.175</v>
      </c>
      <c r="V32" s="2"/>
    </row>
    <row r="33" spans="20:22" x14ac:dyDescent="0.2">
      <c r="T33" s="4">
        <v>45005</v>
      </c>
      <c r="U33" s="2">
        <v>1.155</v>
      </c>
      <c r="V33" s="2">
        <v>-1.7167803622365446E-2</v>
      </c>
    </row>
  </sheetData>
  <sheetProtection algorithmName="SHA-512" hashValue="+AHgIDChCleLQ33VXgvFO/QD+n+EDu3HTVHM5pRNLBygruMIulwJEdlVxsbVwR3aG9UNbw7PPdpzTc/33yhIpA==" saltValue="mw5iNgG3izU2JRDjalVl6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R13:AA56"/>
  <sheetViews>
    <sheetView tabSelected="1" topLeftCell="P10" zoomScale="125" zoomScaleNormal="50" workbookViewId="0">
      <selection activeCell="V5" sqref="V5"/>
    </sheetView>
  </sheetViews>
  <sheetFormatPr baseColWidth="10" defaultColWidth="8.83203125" defaultRowHeight="15" x14ac:dyDescent="0.2"/>
  <cols>
    <col min="18" max="18" width="24.83203125" customWidth="1"/>
    <col min="19" max="20" width="14.5" customWidth="1"/>
    <col min="21" max="21" width="2.83203125" customWidth="1"/>
    <col min="22" max="22" width="14.5" customWidth="1"/>
    <col min="23" max="23" width="2.6640625" customWidth="1"/>
    <col min="24" max="24" width="14.5" customWidth="1"/>
    <col min="25" max="25" width="2.5" customWidth="1"/>
    <col min="26" max="27" width="14.5" customWidth="1"/>
  </cols>
  <sheetData>
    <row r="13" spans="18:18" ht="24" x14ac:dyDescent="0.3">
      <c r="R13" s="3" t="s">
        <v>46</v>
      </c>
    </row>
    <row r="15" spans="18:18" x14ac:dyDescent="0.2">
      <c r="R15" s="1" t="s">
        <v>86</v>
      </c>
    </row>
    <row r="16" spans="18:18" x14ac:dyDescent="0.2">
      <c r="R16" s="1" t="s">
        <v>48</v>
      </c>
    </row>
    <row r="18" spans="18:27" x14ac:dyDescent="0.2">
      <c r="R18" t="s">
        <v>10</v>
      </c>
      <c r="S18" s="2">
        <v>6</v>
      </c>
      <c r="T18" s="16">
        <f>2*3</f>
        <v>6</v>
      </c>
    </row>
    <row r="19" spans="18:27" x14ac:dyDescent="0.2">
      <c r="R19" t="s">
        <v>11</v>
      </c>
      <c r="S19" s="2">
        <v>235298</v>
      </c>
      <c r="T19" s="16">
        <f>2*7^6</f>
        <v>235298</v>
      </c>
    </row>
    <row r="20" spans="18:27" x14ac:dyDescent="0.2">
      <c r="R20" t="s">
        <v>12</v>
      </c>
      <c r="S20" s="2">
        <v>156204.70073797498</v>
      </c>
      <c r="T20" s="16">
        <f>45^3.14157681234558</f>
        <v>156204.70073797484</v>
      </c>
    </row>
    <row r="22" spans="18:27" x14ac:dyDescent="0.2">
      <c r="R22" s="1" t="s">
        <v>13</v>
      </c>
    </row>
    <row r="23" spans="18:27" x14ac:dyDescent="0.2">
      <c r="R23" s="1" t="s">
        <v>81</v>
      </c>
    </row>
    <row r="24" spans="18:27" x14ac:dyDescent="0.2">
      <c r="R24" s="1" t="s">
        <v>48</v>
      </c>
    </row>
    <row r="26" spans="18:27" x14ac:dyDescent="0.2">
      <c r="T26" s="5">
        <v>45</v>
      </c>
      <c r="U26" s="5" t="s">
        <v>14</v>
      </c>
      <c r="V26" s="5">
        <v>58</v>
      </c>
      <c r="W26" s="5" t="s">
        <v>15</v>
      </c>
      <c r="X26" s="16">
        <f>T26+V26</f>
        <v>103</v>
      </c>
      <c r="Z26" s="2">
        <v>103</v>
      </c>
      <c r="AA26" s="23">
        <v>103</v>
      </c>
    </row>
    <row r="27" spans="18:27" x14ac:dyDescent="0.2">
      <c r="T27" s="5">
        <v>55.78</v>
      </c>
      <c r="U27" s="5" t="s">
        <v>16</v>
      </c>
      <c r="V27" s="5">
        <v>1.7993548387096774</v>
      </c>
      <c r="W27" s="5" t="s">
        <v>15</v>
      </c>
      <c r="X27" s="16">
        <f>T27/V27</f>
        <v>31</v>
      </c>
      <c r="Z27" s="2">
        <v>31</v>
      </c>
      <c r="AA27" s="23">
        <v>31</v>
      </c>
    </row>
    <row r="28" spans="18:27" x14ac:dyDescent="0.2">
      <c r="T28" s="5"/>
      <c r="U28" s="5"/>
      <c r="V28" s="5"/>
      <c r="W28" s="5"/>
    </row>
    <row r="29" spans="18:27" x14ac:dyDescent="0.2">
      <c r="R29" s="1" t="s">
        <v>87</v>
      </c>
      <c r="T29" s="5"/>
      <c r="U29" s="5"/>
      <c r="V29" s="5"/>
      <c r="W29" s="5"/>
    </row>
    <row r="30" spans="18:27" x14ac:dyDescent="0.2">
      <c r="R30" s="1" t="s">
        <v>48</v>
      </c>
      <c r="T30" s="5"/>
      <c r="U30" s="5"/>
      <c r="V30" s="5"/>
      <c r="W30" s="5"/>
    </row>
    <row r="31" spans="18:27" x14ac:dyDescent="0.2">
      <c r="T31" s="5"/>
      <c r="U31" s="5"/>
      <c r="V31" s="5"/>
      <c r="W31" s="5"/>
    </row>
    <row r="32" spans="18:27" ht="16" x14ac:dyDescent="0.25">
      <c r="T32" s="6">
        <v>19249</v>
      </c>
      <c r="U32" s="5" t="s">
        <v>17</v>
      </c>
      <c r="V32" s="5" t="s">
        <v>53</v>
      </c>
      <c r="W32" s="5" t="s">
        <v>14</v>
      </c>
      <c r="X32" s="5">
        <v>1</v>
      </c>
      <c r="Y32" s="5" t="s">
        <v>15</v>
      </c>
      <c r="Z32" s="2">
        <v>21067.773278080396</v>
      </c>
      <c r="AA32" s="16">
        <f>T32*(2 ^ 0.13018586) +X32</f>
        <v>21067.773278080396</v>
      </c>
    </row>
    <row r="33" spans="18:27" ht="16" x14ac:dyDescent="0.25">
      <c r="T33" s="6">
        <v>27653</v>
      </c>
      <c r="U33" s="5" t="s">
        <v>17</v>
      </c>
      <c r="V33" s="6" t="s">
        <v>54</v>
      </c>
      <c r="W33" s="5" t="s">
        <v>14</v>
      </c>
      <c r="X33" s="5">
        <v>1</v>
      </c>
      <c r="Y33" s="5" t="s">
        <v>15</v>
      </c>
      <c r="Z33" s="2">
        <v>52205.685681361581</v>
      </c>
      <c r="AA33" s="16">
        <f>T33*(2^0.9167433)+1</f>
        <v>52205.685681361581</v>
      </c>
    </row>
    <row r="34" spans="18:27" ht="16" x14ac:dyDescent="0.25">
      <c r="T34" s="6">
        <v>28433</v>
      </c>
      <c r="U34" s="5" t="s">
        <v>17</v>
      </c>
      <c r="V34" s="6" t="s">
        <v>55</v>
      </c>
      <c r="W34" s="5" t="s">
        <v>14</v>
      </c>
      <c r="X34" s="5">
        <v>1</v>
      </c>
      <c r="Y34" s="5" t="s">
        <v>15</v>
      </c>
      <c r="Z34" s="2">
        <v>48927.362499682647</v>
      </c>
      <c r="AA34" s="16">
        <f>T34*(2^0.7830457)+X34</f>
        <v>48927.362499682647</v>
      </c>
    </row>
    <row r="36" spans="18:27" x14ac:dyDescent="0.2">
      <c r="R36" s="1" t="s">
        <v>88</v>
      </c>
    </row>
    <row r="37" spans="18:27" x14ac:dyDescent="0.2">
      <c r="R37" s="1" t="s">
        <v>89</v>
      </c>
    </row>
    <row r="38" spans="18:27" x14ac:dyDescent="0.2">
      <c r="R38" s="1" t="s">
        <v>90</v>
      </c>
    </row>
    <row r="39" spans="18:27" x14ac:dyDescent="0.2">
      <c r="R39" s="1" t="s">
        <v>91</v>
      </c>
    </row>
    <row r="41" spans="18:27" x14ac:dyDescent="0.2">
      <c r="R41" s="1" t="s">
        <v>4</v>
      </c>
      <c r="S41" s="1" t="s">
        <v>18</v>
      </c>
      <c r="T41" s="1" t="s">
        <v>3</v>
      </c>
    </row>
    <row r="42" spans="18:27" x14ac:dyDescent="0.2">
      <c r="R42" s="4">
        <v>44998</v>
      </c>
      <c r="S42">
        <v>1.175</v>
      </c>
    </row>
    <row r="43" spans="18:27" x14ac:dyDescent="0.2">
      <c r="R43" s="4">
        <v>45005</v>
      </c>
      <c r="S43">
        <v>1.155</v>
      </c>
      <c r="T43">
        <f>LN(S43/S42)</f>
        <v>-1.7167803622365446E-2</v>
      </c>
    </row>
    <row r="44" spans="18:27" x14ac:dyDescent="0.2">
      <c r="R44" s="4">
        <v>45012</v>
      </c>
      <c r="S44">
        <v>1.21</v>
      </c>
      <c r="T44">
        <f t="shared" ref="T44:T45" si="0">LN(S44/S43)</f>
        <v>4.6520015634892907E-2</v>
      </c>
    </row>
    <row r="45" spans="18:27" x14ac:dyDescent="0.2">
      <c r="R45" s="4">
        <v>45019</v>
      </c>
      <c r="S45">
        <v>1.18</v>
      </c>
      <c r="T45">
        <f t="shared" si="0"/>
        <v>-2.5105921131076358E-2</v>
      </c>
    </row>
    <row r="47" spans="18:27" x14ac:dyDescent="0.2">
      <c r="R47" t="s">
        <v>19</v>
      </c>
      <c r="T47" s="16">
        <f>AVERAGE(T43:T45)</f>
        <v>1.4154302938170344E-3</v>
      </c>
    </row>
    <row r="48" spans="18:27" x14ac:dyDescent="0.2">
      <c r="R48" t="s">
        <v>82</v>
      </c>
      <c r="T48" s="2">
        <v>1.4154302938170344E-3</v>
      </c>
    </row>
    <row r="49" spans="18:22" x14ac:dyDescent="0.2">
      <c r="R49" t="s">
        <v>83</v>
      </c>
      <c r="T49" s="23">
        <v>1.4154302938170344E-3</v>
      </c>
    </row>
    <row r="51" spans="18:22" x14ac:dyDescent="0.2">
      <c r="R51" s="1" t="s">
        <v>56</v>
      </c>
    </row>
    <row r="52" spans="18:22" x14ac:dyDescent="0.2">
      <c r="R52" s="1" t="s">
        <v>84</v>
      </c>
    </row>
    <row r="53" spans="18:22" x14ac:dyDescent="0.2">
      <c r="R53" s="1" t="s">
        <v>85</v>
      </c>
    </row>
    <row r="54" spans="18:22" x14ac:dyDescent="0.2">
      <c r="R54" s="5">
        <v>25</v>
      </c>
      <c r="S54" s="2">
        <v>5</v>
      </c>
      <c r="T54" s="23">
        <v>5</v>
      </c>
      <c r="V54" s="16">
        <f>SQRT(R54)</f>
        <v>5</v>
      </c>
    </row>
    <row r="55" spans="18:22" x14ac:dyDescent="0.2">
      <c r="R55" s="5">
        <v>3</v>
      </c>
      <c r="S55" s="2">
        <v>1.7320508075688772</v>
      </c>
      <c r="T55" s="23">
        <v>1.7320508075688772</v>
      </c>
      <c r="V55" s="16">
        <f t="shared" ref="V55:V56" si="1">SQRT(R55)</f>
        <v>1.7320508075688772</v>
      </c>
    </row>
    <row r="56" spans="18:22" x14ac:dyDescent="0.2">
      <c r="R56" s="5">
        <v>77</v>
      </c>
      <c r="S56" s="2">
        <v>8.7749643873921226</v>
      </c>
      <c r="T56" s="23">
        <v>8.7749643873921226</v>
      </c>
      <c r="V56" s="16">
        <f t="shared" si="1"/>
        <v>8.7749643873921226</v>
      </c>
    </row>
  </sheetData>
  <sheetProtection algorithmName="SHA-512" hashValue="Oidfmwit9npUx32UcMUUhvzSHnN2/urPcg/o6mIcfOY+5Xot4JekhRm615Q7Pjsan2AunpNpH+zA++j8Hkyfng==" saltValue="nGPPZfW01YrVpHhW5VRZxg==" spinCount="100000" sheet="1" objects="1" scenarios="1"/>
  <protectedRanges>
    <protectedRange sqref="T18:T20 AA32" name="Range1"/>
    <protectedRange sqref="AA33" name="Range1_2"/>
    <protectedRange sqref="AA34" name="Range1_2_1"/>
    <protectedRange sqref="T47" name="Range1_3"/>
    <protectedRange sqref="T54:T56" name="Range1_4"/>
  </protectedRange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I4:M50"/>
  <sheetViews>
    <sheetView topLeftCell="E26" zoomScale="108" zoomScaleNormal="50" workbookViewId="0">
      <selection activeCell="K41" sqref="K41"/>
    </sheetView>
  </sheetViews>
  <sheetFormatPr baseColWidth="10" defaultColWidth="8.83203125" defaultRowHeight="15" x14ac:dyDescent="0.2"/>
  <cols>
    <col min="9" max="9" width="20.5" customWidth="1"/>
    <col min="10" max="10" width="11.1640625" customWidth="1"/>
    <col min="11" max="13" width="22" customWidth="1"/>
  </cols>
  <sheetData>
    <row r="4" spans="9:11" ht="24" x14ac:dyDescent="0.3">
      <c r="I4" s="3" t="s">
        <v>22</v>
      </c>
    </row>
    <row r="6" spans="9:11" x14ac:dyDescent="0.2">
      <c r="I6" s="1" t="s">
        <v>52</v>
      </c>
    </row>
    <row r="8" spans="9:11" x14ac:dyDescent="0.2">
      <c r="I8">
        <v>11</v>
      </c>
      <c r="K8" s="2">
        <v>11</v>
      </c>
    </row>
    <row r="9" spans="9:11" x14ac:dyDescent="0.2">
      <c r="I9">
        <v>678</v>
      </c>
      <c r="K9" s="2">
        <v>678</v>
      </c>
    </row>
    <row r="10" spans="9:11" x14ac:dyDescent="0.2">
      <c r="I10">
        <v>98</v>
      </c>
      <c r="K10" s="2">
        <v>98</v>
      </c>
    </row>
    <row r="11" spans="9:11" x14ac:dyDescent="0.2">
      <c r="I11">
        <v>5</v>
      </c>
      <c r="K11" s="2">
        <v>5</v>
      </c>
    </row>
    <row r="13" spans="9:11" x14ac:dyDescent="0.2">
      <c r="I13" s="1" t="s">
        <v>24</v>
      </c>
    </row>
    <row r="15" spans="9:11" x14ac:dyDescent="0.2">
      <c r="I15">
        <v>5.1123399999999997</v>
      </c>
      <c r="K15" s="2">
        <v>5.1123399999999997</v>
      </c>
    </row>
    <row r="16" spans="9:11" x14ac:dyDescent="0.2">
      <c r="I16">
        <v>55.777700000000003</v>
      </c>
      <c r="K16" s="2">
        <v>55.777700000000003</v>
      </c>
    </row>
    <row r="17" spans="9:11" x14ac:dyDescent="0.2">
      <c r="I17">
        <v>3.1415000000000002</v>
      </c>
      <c r="K17" s="2">
        <v>3.1415000000000002</v>
      </c>
    </row>
    <row r="19" spans="9:11" x14ac:dyDescent="0.2">
      <c r="I19" s="1" t="s">
        <v>25</v>
      </c>
    </row>
    <row r="21" spans="9:11" x14ac:dyDescent="0.2">
      <c r="I21" t="s">
        <v>32</v>
      </c>
      <c r="K21" s="2" t="s">
        <v>32</v>
      </c>
    </row>
    <row r="22" spans="9:11" x14ac:dyDescent="0.2">
      <c r="I22" t="s">
        <v>33</v>
      </c>
      <c r="K22" s="2" t="s">
        <v>33</v>
      </c>
    </row>
    <row r="23" spans="9:11" x14ac:dyDescent="0.2">
      <c r="I23" t="s">
        <v>34</v>
      </c>
      <c r="K23" s="2" t="s">
        <v>34</v>
      </c>
    </row>
    <row r="24" spans="9:11" x14ac:dyDescent="0.2">
      <c r="I24" t="s">
        <v>36</v>
      </c>
      <c r="K24" s="2" t="s">
        <v>36</v>
      </c>
    </row>
    <row r="25" spans="9:11" x14ac:dyDescent="0.2">
      <c r="I25" t="s">
        <v>35</v>
      </c>
      <c r="K25" s="2" t="s">
        <v>35</v>
      </c>
    </row>
    <row r="27" spans="9:11" x14ac:dyDescent="0.2">
      <c r="I27" s="1" t="s">
        <v>88</v>
      </c>
    </row>
    <row r="28" spans="9:11" x14ac:dyDescent="0.2">
      <c r="I28" s="1" t="s">
        <v>93</v>
      </c>
    </row>
    <row r="29" spans="9:11" x14ac:dyDescent="0.2">
      <c r="I29" s="7" t="s">
        <v>26</v>
      </c>
    </row>
    <row r="30" spans="9:11" x14ac:dyDescent="0.2">
      <c r="I30" s="1" t="s">
        <v>20</v>
      </c>
    </row>
    <row r="31" spans="9:11" x14ac:dyDescent="0.2">
      <c r="I31" s="1" t="s">
        <v>21</v>
      </c>
    </row>
    <row r="33" spans="9:13" x14ac:dyDescent="0.2">
      <c r="I33" s="1" t="s">
        <v>4</v>
      </c>
      <c r="J33" s="1" t="s">
        <v>18</v>
      </c>
      <c r="K33" s="1" t="s">
        <v>3</v>
      </c>
    </row>
    <row r="34" spans="9:13" x14ac:dyDescent="0.2">
      <c r="I34" s="4">
        <f t="array" ref="I34:J37">Stock_Data1</f>
        <v>44998</v>
      </c>
      <c r="J34">
        <v>1.175</v>
      </c>
    </row>
    <row r="35" spans="9:13" x14ac:dyDescent="0.2">
      <c r="I35" s="4">
        <v>45005</v>
      </c>
      <c r="J35">
        <v>1.155</v>
      </c>
      <c r="K35">
        <f>LN(J35/J34)</f>
        <v>-1.7167803622365446E-2</v>
      </c>
    </row>
    <row r="36" spans="9:13" x14ac:dyDescent="0.2">
      <c r="I36" s="4">
        <v>45012</v>
      </c>
      <c r="J36">
        <v>1.21</v>
      </c>
      <c r="K36">
        <f t="shared" ref="K36:K37" si="0">LN(J36/J35)</f>
        <v>4.6520015634892907E-2</v>
      </c>
    </row>
    <row r="37" spans="9:13" x14ac:dyDescent="0.2">
      <c r="I37" s="4">
        <v>45019</v>
      </c>
      <c r="J37">
        <v>1.18</v>
      </c>
      <c r="K37">
        <f t="shared" si="0"/>
        <v>-2.5105921131076358E-2</v>
      </c>
    </row>
    <row r="39" spans="9:13" x14ac:dyDescent="0.2">
      <c r="I39" t="s">
        <v>94</v>
      </c>
      <c r="K39" s="16">
        <f>AVERAGE(K35:K37)</f>
        <v>1.4154302938170344E-3</v>
      </c>
    </row>
    <row r="40" spans="9:13" x14ac:dyDescent="0.2">
      <c r="I40" t="s">
        <v>92</v>
      </c>
      <c r="K40" s="2">
        <v>1.4154302938170344E-3</v>
      </c>
    </row>
    <row r="41" spans="9:13" x14ac:dyDescent="0.2">
      <c r="I41" t="s">
        <v>95</v>
      </c>
      <c r="K41" s="23">
        <v>1.4154302938170344E-3</v>
      </c>
    </row>
    <row r="43" spans="9:13" x14ac:dyDescent="0.2">
      <c r="I43" s="1" t="s">
        <v>27</v>
      </c>
    </row>
    <row r="44" spans="9:13" x14ac:dyDescent="0.2">
      <c r="I44" s="8" t="s">
        <v>28</v>
      </c>
    </row>
    <row r="46" spans="9:13" x14ac:dyDescent="0.2">
      <c r="J46" s="1" t="s">
        <v>4</v>
      </c>
      <c r="K46" s="1" t="s">
        <v>29</v>
      </c>
    </row>
    <row r="47" spans="9:13" x14ac:dyDescent="0.2">
      <c r="J47" s="1"/>
      <c r="K47" s="24" t="s">
        <v>96</v>
      </c>
      <c r="L47" s="24" t="s">
        <v>97</v>
      </c>
      <c r="M47" s="24" t="s">
        <v>98</v>
      </c>
    </row>
    <row r="48" spans="9:13" x14ac:dyDescent="0.2">
      <c r="J48" s="4">
        <f t="array" ref="J48:J50">Stock_Date1</f>
        <v>45005</v>
      </c>
      <c r="K48" s="2">
        <v>-1.8583233916182482E-2</v>
      </c>
      <c r="L48" s="23">
        <v>-1.8583233916182482E-2</v>
      </c>
      <c r="M48" s="16">
        <f>K35-K39</f>
        <v>-1.8583233916182482E-2</v>
      </c>
    </row>
    <row r="49" spans="10:13" x14ac:dyDescent="0.2">
      <c r="J49" s="4">
        <v>45012</v>
      </c>
      <c r="K49" s="2">
        <v>4.5104585341075872E-2</v>
      </c>
      <c r="L49" s="23">
        <v>4.5104585341075872E-2</v>
      </c>
      <c r="M49" s="16">
        <f t="shared" ref="M49:M50" si="1">K36-K40</f>
        <v>4.5104585341075872E-2</v>
      </c>
    </row>
    <row r="50" spans="10:13" x14ac:dyDescent="0.2">
      <c r="J50" s="4">
        <v>45019</v>
      </c>
      <c r="K50" s="2">
        <v>-2.6521351424893393E-2</v>
      </c>
      <c r="L50" s="23">
        <v>-2.6521351424893393E-2</v>
      </c>
      <c r="M50" s="16">
        <f t="shared" si="1"/>
        <v>-2.6521351424893393E-2</v>
      </c>
    </row>
  </sheetData>
  <sheetProtection algorithmName="SHA-512" hashValue="mxHFV0XGJZNIIanf9mJXAHRufYJgGVrU1nK7Xn+iG5AN6s8x0CXAVXZ1qb16fOtxmi69rdaI9MXvp94N/8j4dA==" saltValue="oZ6L1CaDulIsww/Ic0IC3w==" spinCount="100000" sheet="1" objects="1" scenarios="1"/>
  <protectedRanges>
    <protectedRange sqref="K39 M48:M50" name="Range1"/>
  </protectedRange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C18:I49"/>
  <sheetViews>
    <sheetView topLeftCell="A31" zoomScale="163" zoomScaleNormal="163" workbookViewId="0">
      <selection activeCell="G48" sqref="G48"/>
    </sheetView>
  </sheetViews>
  <sheetFormatPr baseColWidth="10" defaultColWidth="8.83203125" defaultRowHeight="15" x14ac:dyDescent="0.2"/>
  <cols>
    <col min="3" max="3" width="10.5" customWidth="1"/>
    <col min="7" max="7" width="9.83203125" customWidth="1"/>
    <col min="8" max="8" width="9.6640625" customWidth="1"/>
    <col min="9" max="9" width="10.33203125" customWidth="1"/>
  </cols>
  <sheetData>
    <row r="18" spans="3:9" ht="24" x14ac:dyDescent="0.3">
      <c r="C18" s="3" t="s">
        <v>23</v>
      </c>
    </row>
    <row r="20" spans="3:9" x14ac:dyDescent="0.2">
      <c r="C20" s="1" t="s">
        <v>31</v>
      </c>
    </row>
    <row r="22" spans="3:9" x14ac:dyDescent="0.2">
      <c r="C22">
        <v>11</v>
      </c>
      <c r="D22">
        <v>55</v>
      </c>
      <c r="E22">
        <v>888</v>
      </c>
      <c r="G22" s="2">
        <v>11</v>
      </c>
      <c r="H22" s="2">
        <v>55</v>
      </c>
      <c r="I22" s="2">
        <v>888</v>
      </c>
    </row>
    <row r="23" spans="3:9" x14ac:dyDescent="0.2">
      <c r="C23">
        <v>23</v>
      </c>
      <c r="D23">
        <v>66</v>
      </c>
      <c r="E23">
        <v>998</v>
      </c>
      <c r="G23" s="2">
        <v>23</v>
      </c>
      <c r="H23" s="2">
        <v>66</v>
      </c>
      <c r="I23" s="2">
        <v>998</v>
      </c>
    </row>
    <row r="24" spans="3:9" x14ac:dyDescent="0.2">
      <c r="C24">
        <v>44</v>
      </c>
      <c r="D24">
        <v>77</v>
      </c>
      <c r="E24">
        <v>33</v>
      </c>
      <c r="G24" s="2">
        <v>44</v>
      </c>
      <c r="H24" s="2">
        <v>77</v>
      </c>
      <c r="I24" s="2">
        <v>33</v>
      </c>
    </row>
    <row r="25" spans="3:9" x14ac:dyDescent="0.2">
      <c r="C25">
        <v>21</v>
      </c>
      <c r="D25">
        <v>13</v>
      </c>
      <c r="E25">
        <v>66</v>
      </c>
      <c r="G25" s="2">
        <v>21</v>
      </c>
      <c r="H25" s="2">
        <v>13</v>
      </c>
      <c r="I25" s="2">
        <v>66</v>
      </c>
    </row>
    <row r="28" spans="3:9" x14ac:dyDescent="0.2">
      <c r="C28" s="1" t="s">
        <v>31</v>
      </c>
    </row>
    <row r="30" spans="3:9" x14ac:dyDescent="0.2">
      <c r="C30">
        <v>3.14</v>
      </c>
      <c r="D30">
        <v>3.15</v>
      </c>
      <c r="E30">
        <v>3.14</v>
      </c>
      <c r="G30" s="2">
        <v>3.14</v>
      </c>
      <c r="H30" s="2">
        <v>3.15</v>
      </c>
      <c r="I30" s="2">
        <v>3.14</v>
      </c>
    </row>
    <row r="31" spans="3:9" x14ac:dyDescent="0.2">
      <c r="C31">
        <v>3.6779999999999999</v>
      </c>
      <c r="D31">
        <v>5.6669999999999998</v>
      </c>
      <c r="E31">
        <v>6.33</v>
      </c>
      <c r="G31" s="2">
        <v>3.6779999999999999</v>
      </c>
      <c r="H31" s="2">
        <v>5.6669999999999998</v>
      </c>
      <c r="I31" s="2">
        <v>6.33</v>
      </c>
    </row>
    <row r="34" spans="3:8" x14ac:dyDescent="0.2">
      <c r="C34" s="1" t="s">
        <v>41</v>
      </c>
    </row>
    <row r="36" spans="3:8" x14ac:dyDescent="0.2">
      <c r="C36" t="s">
        <v>37</v>
      </c>
      <c r="D36" t="s">
        <v>38</v>
      </c>
      <c r="G36" s="28" t="s">
        <v>37</v>
      </c>
      <c r="H36" s="28" t="s">
        <v>38</v>
      </c>
    </row>
    <row r="37" spans="3:8" x14ac:dyDescent="0.2">
      <c r="C37" t="s">
        <v>39</v>
      </c>
      <c r="D37" t="s">
        <v>40</v>
      </c>
      <c r="G37" s="28" t="s">
        <v>39</v>
      </c>
      <c r="H37" s="28" t="s">
        <v>40</v>
      </c>
    </row>
    <row r="39" spans="3:8" x14ac:dyDescent="0.2">
      <c r="C39" s="1" t="s">
        <v>42</v>
      </c>
    </row>
    <row r="41" spans="3:8" x14ac:dyDescent="0.2">
      <c r="C41" s="9" t="s">
        <v>4</v>
      </c>
      <c r="D41" s="9" t="s">
        <v>118</v>
      </c>
      <c r="E41" s="9" t="s">
        <v>119</v>
      </c>
      <c r="F41" s="5"/>
    </row>
    <row r="42" spans="3:8" x14ac:dyDescent="0.2">
      <c r="C42" s="4">
        <v>45068</v>
      </c>
      <c r="D42">
        <v>4.6520015634892907E-2</v>
      </c>
      <c r="E42">
        <v>-9.4508897710170653E-2</v>
      </c>
    </row>
    <row r="43" spans="3:8" x14ac:dyDescent="0.2">
      <c r="C43" s="4">
        <v>45075</v>
      </c>
      <c r="D43">
        <v>0</v>
      </c>
      <c r="E43">
        <v>-1.5538603427779161E-2</v>
      </c>
    </row>
    <row r="44" spans="3:8" x14ac:dyDescent="0.2">
      <c r="C44" s="4">
        <v>45082</v>
      </c>
      <c r="D44">
        <v>-0.2876820724517809</v>
      </c>
      <c r="E44">
        <v>6.0756209421072432E-2</v>
      </c>
    </row>
    <row r="46" spans="3:8" x14ac:dyDescent="0.2">
      <c r="C46" s="9" t="s">
        <v>4</v>
      </c>
      <c r="D46" s="9" t="str">
        <f t="shared" ref="D46:E46" si="0">D41</f>
        <v>XASX:BCB</v>
      </c>
      <c r="E46" s="9" t="str">
        <f t="shared" si="0"/>
        <v>XASX:PLS</v>
      </c>
    </row>
    <row r="47" spans="3:8" x14ac:dyDescent="0.2">
      <c r="C47" s="4">
        <f t="shared" ref="C47:C49" si="1">C42</f>
        <v>45068</v>
      </c>
      <c r="D47" s="2" t="s">
        <v>128</v>
      </c>
      <c r="E47" s="2" t="s">
        <v>129</v>
      </c>
    </row>
    <row r="48" spans="3:8" x14ac:dyDescent="0.2">
      <c r="C48" s="4">
        <f t="shared" si="1"/>
        <v>45075</v>
      </c>
      <c r="D48" s="2" t="s">
        <v>130</v>
      </c>
      <c r="E48" s="2" t="s">
        <v>131</v>
      </c>
    </row>
    <row r="49" spans="3:5" x14ac:dyDescent="0.2">
      <c r="C49" s="4">
        <f t="shared" si="1"/>
        <v>45082</v>
      </c>
      <c r="D49" s="2" t="s">
        <v>132</v>
      </c>
      <c r="E49" s="2" t="s">
        <v>133</v>
      </c>
    </row>
  </sheetData>
  <sheetProtection algorithmName="SHA-512" hashValue="vuOL5W5qOgKfYxr657rvXy7CtKXTiQbIAzGTx0q5Qjro2UZ+8bWVXkj/eIpKMvm3SALLUJIUBmCuROT40prt/w==" saltValue="2ukG8jjmrHOPxSO+h8+KWQ==" spinCount="100000" sheet="1" objects="1" scenarios="1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G2:L59"/>
  <sheetViews>
    <sheetView topLeftCell="D44" zoomScale="122" zoomScaleNormal="50" workbookViewId="0">
      <selection activeCell="P61" sqref="P61"/>
    </sheetView>
  </sheetViews>
  <sheetFormatPr baseColWidth="10" defaultColWidth="8.83203125" defaultRowHeight="15" x14ac:dyDescent="0.2"/>
  <cols>
    <col min="8" max="8" width="19.83203125" bestFit="1" customWidth="1"/>
    <col min="9" max="9" width="10.6640625" bestFit="1" customWidth="1"/>
    <col min="10" max="10" width="5.5" customWidth="1"/>
    <col min="14" max="14" width="9.1640625" customWidth="1"/>
    <col min="16" max="16" width="9.1640625" customWidth="1"/>
  </cols>
  <sheetData>
    <row r="2" spans="7:12" ht="24" x14ac:dyDescent="0.3">
      <c r="G2" s="3" t="s">
        <v>57</v>
      </c>
    </row>
    <row r="3" spans="7:12" x14ac:dyDescent="0.2">
      <c r="G3" s="7" t="s">
        <v>78</v>
      </c>
    </row>
    <row r="4" spans="7:12" x14ac:dyDescent="0.2">
      <c r="G4" s="1" t="s">
        <v>76</v>
      </c>
    </row>
    <row r="5" spans="7:12" x14ac:dyDescent="0.2">
      <c r="G5" s="1"/>
    </row>
    <row r="7" spans="7:12" x14ac:dyDescent="0.2">
      <c r="G7" s="1" t="s">
        <v>74</v>
      </c>
    </row>
    <row r="8" spans="7:12" x14ac:dyDescent="0.2">
      <c r="G8" s="1" t="s">
        <v>58</v>
      </c>
    </row>
    <row r="11" spans="7:12" x14ac:dyDescent="0.2">
      <c r="H11" s="1" t="s">
        <v>59</v>
      </c>
      <c r="I11" s="12">
        <v>1000</v>
      </c>
      <c r="L11" s="1" t="s">
        <v>63</v>
      </c>
    </row>
    <row r="12" spans="7:12" x14ac:dyDescent="0.2">
      <c r="H12" s="1" t="s">
        <v>60</v>
      </c>
      <c r="I12" s="13">
        <v>0.05</v>
      </c>
    </row>
    <row r="13" spans="7:12" x14ac:dyDescent="0.2">
      <c r="H13" s="1" t="s">
        <v>61</v>
      </c>
      <c r="I13">
        <v>10</v>
      </c>
    </row>
    <row r="15" spans="7:12" x14ac:dyDescent="0.2">
      <c r="H15" s="1" t="s">
        <v>62</v>
      </c>
      <c r="I15" s="18">
        <f>FV(I12,I13,0,-I11)</f>
        <v>1628.8946267774415</v>
      </c>
    </row>
    <row r="16" spans="7:12" x14ac:dyDescent="0.2">
      <c r="H16" s="1" t="s">
        <v>99</v>
      </c>
      <c r="I16" s="19">
        <v>1628.894626777442</v>
      </c>
    </row>
    <row r="17" spans="7:9" x14ac:dyDescent="0.2">
      <c r="H17" s="1" t="s">
        <v>100</v>
      </c>
      <c r="I17" s="25">
        <v>1628.894626777442</v>
      </c>
    </row>
    <row r="19" spans="7:9" x14ac:dyDescent="0.2">
      <c r="G19" s="1" t="s">
        <v>64</v>
      </c>
    </row>
    <row r="21" spans="7:9" x14ac:dyDescent="0.2">
      <c r="H21" s="1" t="s">
        <v>65</v>
      </c>
      <c r="I21" s="12">
        <v>1000</v>
      </c>
    </row>
    <row r="22" spans="7:9" x14ac:dyDescent="0.2">
      <c r="H22" s="1" t="s">
        <v>60</v>
      </c>
      <c r="I22" s="13">
        <v>0.1</v>
      </c>
    </row>
    <row r="23" spans="7:9" x14ac:dyDescent="0.2">
      <c r="H23" s="1" t="s">
        <v>66</v>
      </c>
      <c r="I23">
        <v>1</v>
      </c>
    </row>
    <row r="25" spans="7:9" x14ac:dyDescent="0.2">
      <c r="H25" s="1" t="s">
        <v>67</v>
      </c>
      <c r="I25" s="18">
        <f>PV(I22,I23,0,-I21)</f>
        <v>909.09090909090901</v>
      </c>
    </row>
    <row r="26" spans="7:9" x14ac:dyDescent="0.2">
      <c r="H26" s="1" t="s">
        <v>102</v>
      </c>
      <c r="I26" s="19">
        <v>909.09090909090901</v>
      </c>
    </row>
    <row r="27" spans="7:9" x14ac:dyDescent="0.2">
      <c r="H27" s="1" t="s">
        <v>101</v>
      </c>
      <c r="I27" s="25">
        <v>909.09090909090901</v>
      </c>
    </row>
    <row r="29" spans="7:9" x14ac:dyDescent="0.2">
      <c r="G29" s="1" t="s">
        <v>68</v>
      </c>
    </row>
    <row r="30" spans="7:9" x14ac:dyDescent="0.2">
      <c r="G30" s="1" t="s">
        <v>69</v>
      </c>
    </row>
    <row r="38" spans="7:11" x14ac:dyDescent="0.2">
      <c r="H38" s="1" t="s">
        <v>70</v>
      </c>
      <c r="I38" s="12">
        <v>100</v>
      </c>
    </row>
    <row r="39" spans="7:11" x14ac:dyDescent="0.2">
      <c r="H39" s="1" t="s">
        <v>60</v>
      </c>
      <c r="I39" s="13">
        <v>0.05</v>
      </c>
    </row>
    <row r="40" spans="7:11" x14ac:dyDescent="0.2">
      <c r="H40" s="1" t="s">
        <v>66</v>
      </c>
      <c r="I40">
        <v>25</v>
      </c>
    </row>
    <row r="41" spans="7:11" x14ac:dyDescent="0.2">
      <c r="K41" s="14"/>
    </row>
    <row r="42" spans="7:11" x14ac:dyDescent="0.2">
      <c r="H42" s="1" t="s">
        <v>62</v>
      </c>
      <c r="I42" s="20">
        <f>I38*( (1+I39)^I40 - 1)/I39</f>
        <v>4772.7098817987717</v>
      </c>
    </row>
    <row r="43" spans="7:11" x14ac:dyDescent="0.2">
      <c r="H43" s="1" t="s">
        <v>99</v>
      </c>
      <c r="I43" s="21">
        <v>4772.7098817987771</v>
      </c>
    </row>
    <row r="44" spans="7:11" x14ac:dyDescent="0.2">
      <c r="H44" s="1" t="s">
        <v>100</v>
      </c>
      <c r="I44" s="26">
        <v>4772.7098817987762</v>
      </c>
    </row>
    <row r="46" spans="7:11" x14ac:dyDescent="0.2">
      <c r="G46" s="1" t="s">
        <v>111</v>
      </c>
    </row>
    <row r="47" spans="7:11" x14ac:dyDescent="0.2">
      <c r="G47" s="1" t="s">
        <v>112</v>
      </c>
    </row>
    <row r="48" spans="7:11" x14ac:dyDescent="0.2">
      <c r="G48" s="1" t="s">
        <v>113</v>
      </c>
    </row>
    <row r="49" spans="7:12" x14ac:dyDescent="0.2">
      <c r="G49" s="1" t="s">
        <v>77</v>
      </c>
    </row>
    <row r="50" spans="7:12" x14ac:dyDescent="0.2">
      <c r="G50" s="15" t="s">
        <v>75</v>
      </c>
    </row>
    <row r="51" spans="7:12" x14ac:dyDescent="0.2">
      <c r="G51" s="1" t="s">
        <v>103</v>
      </c>
    </row>
    <row r="53" spans="7:12" x14ac:dyDescent="0.2">
      <c r="H53" t="s">
        <v>71</v>
      </c>
      <c r="I53">
        <v>5.9448166258306623E-2</v>
      </c>
    </row>
    <row r="54" spans="7:12" x14ac:dyDescent="0.2">
      <c r="H54" t="s">
        <v>72</v>
      </c>
      <c r="I54">
        <v>2.8801973107880907E-2</v>
      </c>
    </row>
    <row r="55" spans="7:12" x14ac:dyDescent="0.2">
      <c r="H55" t="s">
        <v>73</v>
      </c>
      <c r="I55">
        <v>7.6233883057392399E-2</v>
      </c>
    </row>
    <row r="57" spans="7:12" x14ac:dyDescent="0.2">
      <c r="G57" s="7"/>
    </row>
    <row r="58" spans="7:12" x14ac:dyDescent="0.2">
      <c r="H58" t="s">
        <v>104</v>
      </c>
      <c r="L58" s="2">
        <v>2.4051110592967349E-2</v>
      </c>
    </row>
    <row r="59" spans="7:12" x14ac:dyDescent="0.2">
      <c r="H59" t="s">
        <v>105</v>
      </c>
      <c r="L59" s="23">
        <v>2.4051110592967349E-2</v>
      </c>
    </row>
  </sheetData>
  <sheetProtection algorithmName="SHA-512" hashValue="SmqMg2VM4XNCp2PPAUh5DyWtqZOYUWLRkigcir/yJPuGjLZ1Oi/eDyEtL/PGE5lg8ji1kROB3vdVovptM/u2dQ==" saltValue="foOH70HCBBW26N5WN6wzPQ==" spinCount="100000" sheet="1" objects="1" scenarios="1"/>
  <protectedRanges>
    <protectedRange sqref="I15" name="Range1"/>
    <protectedRange sqref="I25" name="Range1_2"/>
    <protectedRange sqref="I42" name="Range1_3"/>
  </protectedRange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B05D7-8348-40A9-8E85-4F4DED29BB1A}">
  <sheetPr codeName="Sheet10"/>
  <dimension ref="BD20:DH58"/>
  <sheetViews>
    <sheetView zoomScale="50" zoomScaleNormal="50" workbookViewId="0"/>
  </sheetViews>
  <sheetFormatPr baseColWidth="10" defaultColWidth="8.83203125" defaultRowHeight="15" x14ac:dyDescent="0.2"/>
  <sheetData>
    <row r="20" spans="56:59" x14ac:dyDescent="0.2">
      <c r="BD20" s="27">
        <v>45138.643414351849</v>
      </c>
    </row>
    <row r="22" spans="56:59" x14ac:dyDescent="0.2">
      <c r="BG22" t="s">
        <v>122</v>
      </c>
    </row>
    <row r="58" spans="112:112" x14ac:dyDescent="0.2">
      <c r="DH58" t="s">
        <v>120</v>
      </c>
    </row>
  </sheetData>
  <sheetProtection algorithmName="SHA-512" hashValue="GTIweYcPjQ3ugqysSdxl0p+sn7MP6eWHZCvHaYgGUbJfy0C3S8wgnNPVfH4C9lutsM/vg1VrqefpKVBQQxuabg==" saltValue="1neKj466+cpGKCgAPME0Y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Name</vt:lpstr>
      <vt:lpstr>MsgBox</vt:lpstr>
      <vt:lpstr>Output</vt:lpstr>
      <vt:lpstr>Basic Input</vt:lpstr>
      <vt:lpstr>Variables 1</vt:lpstr>
      <vt:lpstr>Variables&amp;Calculations</vt:lpstr>
      <vt:lpstr>1D Arrays</vt:lpstr>
      <vt:lpstr>2D Arrays</vt:lpstr>
      <vt:lpstr>Common Formulas</vt:lpstr>
      <vt:lpstr>df_1</vt:lpstr>
      <vt:lpstr>df_2</vt:lpstr>
      <vt:lpstr>df_3</vt:lpstr>
      <vt:lpstr>df_4</vt:lpstr>
      <vt:lpstr>df_5</vt:lpstr>
      <vt:lpstr>df_6</vt:lpstr>
      <vt:lpstr>df_7</vt:lpstr>
      <vt:lpstr>df_8</vt:lpstr>
      <vt:lpstr>input</vt:lpstr>
      <vt:lpstr>input1</vt:lpstr>
      <vt:lpstr>input2</vt:lpstr>
      <vt:lpstr>input3</vt:lpstr>
      <vt:lpstr>input4</vt:lpstr>
      <vt:lpstr>output</vt:lpstr>
      <vt:lpstr>output1</vt:lpstr>
      <vt:lpstr>output2</vt:lpstr>
      <vt:lpstr>output3</vt:lpstr>
      <vt:lpstr>output4</vt:lpstr>
      <vt:lpstr>output8</vt:lpstr>
      <vt:lpstr>Stock_Data</vt:lpstr>
      <vt:lpstr>Stock_Data1</vt:lpstr>
      <vt:lpstr>Stock_Date</vt:lpstr>
      <vt:lpstr>Stock_Date1</vt:lpstr>
      <vt:lpstr>working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</dc:creator>
  <cp:lastModifiedBy>Grant Fullston</cp:lastModifiedBy>
  <dcterms:created xsi:type="dcterms:W3CDTF">2010-04-05T05:37:02Z</dcterms:created>
  <dcterms:modified xsi:type="dcterms:W3CDTF">2023-08-13T23:58:45Z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201600</vt:lpwstr>
  </property>
</Properties>
</file>