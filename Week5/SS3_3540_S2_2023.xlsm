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/Desktop/Uni Sub/2023/Sem2/BFC3540 Financial Modelling/Week5/"/>
    </mc:Choice>
  </mc:AlternateContent>
  <xr:revisionPtr revIDLastSave="0" documentId="13_ncr:1_{B7C63041-ACC4-A74B-A9B6-BB86EF6349D4}" xr6:coauthVersionLast="47" xr6:coauthVersionMax="47" xr10:uidLastSave="{00000000-0000-0000-0000-000000000000}"/>
  <bookViews>
    <workbookView xWindow="45540" yWindow="-21100" windowWidth="38400" windowHeight="21100" activeTab="1" xr2:uid="{00000000-000D-0000-FFFF-FFFF00000000}"/>
  </bookViews>
  <sheets>
    <sheet name="Name" sheetId="2" r:id="rId1"/>
    <sheet name="VarCov" sheetId="1" r:id="rId2"/>
    <sheet name="other" sheetId="4" state="veryHidden" r:id="rId3"/>
  </sheets>
  <externalReferences>
    <externalReference r:id="rId4"/>
    <externalReference r:id="rId5"/>
  </externalReferences>
  <definedNames>
    <definedName name="â" hidden="1">other!$BE$2</definedName>
    <definedName name="CustomVariablesStoredValue">#REF!</definedName>
    <definedName name="CustomVariablesValue">#REF!</definedName>
    <definedName name="df_1">VarCov!$H$27:$N$28,VarCov!$H$32:$N$42,VarCov!$H$46:$R$52,VarCov!$H$57:$N$64</definedName>
    <definedName name="è" hidden="1">other!$DN$40</definedName>
    <definedName name="î" hidden="1">other!$CE$4</definedName>
    <definedName name="ö" hidden="1">other!$DE$10</definedName>
    <definedName name="Portfolio_Mean1">'[1]Set 1 - Task 3'!$C$19</definedName>
    <definedName name="Portfolio_Mean2">'[1]Set 2 - Task 3'!$C$19</definedName>
    <definedName name="Portfolio_Mean3">'[1]Set 3 - Task 3'!$C$19</definedName>
    <definedName name="Range1" hidden="1">other!$BF$2</definedName>
    <definedName name="Range2" hidden="1">other!$BI$4</definedName>
    <definedName name="Range3" hidden="1">other!$CV$10</definedName>
    <definedName name="Range4" hidden="1">other!$DJ$40</definedName>
    <definedName name="Stock_Dates">VarCov!$G$6:$G$15</definedName>
    <definedName name="Stock_Name">VarCov!$H$5:$M$5</definedName>
    <definedName name="Stock1">'[2]Set 1 - Task 1'!$D$5</definedName>
    <definedName name="Stock1_Data">'[1]Set 1 - Task 1'!$C$6:$C$15</definedName>
    <definedName name="Stock1_Proportion">'[1]Set 1 - Task 3'!$C$14</definedName>
    <definedName name="Stock2">'[2]Set 1 - Task 1'!$E$5</definedName>
    <definedName name="Stock2_Data">'[1]Set 1 - Task 1'!$D$6:$D$15</definedName>
    <definedName name="Stock3">'[2]Set 2 - Task 1'!$D$5</definedName>
    <definedName name="Stock3_Data">'[1]Set 2 - Task 1'!$C$6:$C$15</definedName>
    <definedName name="Stock3_Proportion">'[1]Set 2 - Task 3'!$C$14</definedName>
    <definedName name="Stock4">'[2]Set 2 - Task 1'!$E$5</definedName>
    <definedName name="Stock4_Data">'[1]Set 2 - Task 1'!$D$6:$D$15</definedName>
    <definedName name="Stock5">'[2]Set 3 - Task 1'!$D$5</definedName>
    <definedName name="Stock5_Data">'[1]Set 3 - Task 1'!$C$6:$C$15</definedName>
    <definedName name="Stock5_Proportion">'[1]Set 3 - Task 3'!$C$14</definedName>
    <definedName name="Stock6">'[2]Set 3 - Task 1'!$E$5</definedName>
    <definedName name="Stock6_Data">'[1]Set 3 - Task 1'!$D$6:$D$15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6" i="1" l="1" a="1"/>
  <c r="H46" i="1" s="1"/>
  <c r="H57" i="1" s="1" a="1"/>
  <c r="H57" i="1" s="1"/>
  <c r="H32" i="1"/>
  <c r="I32" i="1"/>
  <c r="J32" i="1"/>
  <c r="K32" i="1"/>
  <c r="L32" i="1"/>
  <c r="M32" i="1"/>
  <c r="I33" i="1"/>
  <c r="J33" i="1"/>
  <c r="K33" i="1"/>
  <c r="L33" i="1"/>
  <c r="M33" i="1"/>
  <c r="I34" i="1"/>
  <c r="J34" i="1"/>
  <c r="K34" i="1"/>
  <c r="L34" i="1"/>
  <c r="M34" i="1"/>
  <c r="I35" i="1"/>
  <c r="J35" i="1"/>
  <c r="K35" i="1"/>
  <c r="L35" i="1"/>
  <c r="M35" i="1"/>
  <c r="I36" i="1"/>
  <c r="J36" i="1"/>
  <c r="K36" i="1"/>
  <c r="L36" i="1"/>
  <c r="M36" i="1"/>
  <c r="I37" i="1"/>
  <c r="J37" i="1"/>
  <c r="K37" i="1"/>
  <c r="L37" i="1"/>
  <c r="M37" i="1"/>
  <c r="I38" i="1"/>
  <c r="J38" i="1"/>
  <c r="K38" i="1"/>
  <c r="L38" i="1"/>
  <c r="M38" i="1"/>
  <c r="I39" i="1"/>
  <c r="J39" i="1"/>
  <c r="K39" i="1"/>
  <c r="L39" i="1"/>
  <c r="M39" i="1"/>
  <c r="I40" i="1"/>
  <c r="J40" i="1"/>
  <c r="K40" i="1"/>
  <c r="L40" i="1"/>
  <c r="M40" i="1"/>
  <c r="I41" i="1"/>
  <c r="J41" i="1"/>
  <c r="K41" i="1"/>
  <c r="L41" i="1"/>
  <c r="M41" i="1"/>
  <c r="H34" i="1"/>
  <c r="H35" i="1"/>
  <c r="H36" i="1"/>
  <c r="H37" i="1"/>
  <c r="H38" i="1"/>
  <c r="H39" i="1"/>
  <c r="H40" i="1"/>
  <c r="H41" i="1"/>
  <c r="H33" i="1"/>
  <c r="I27" i="1"/>
  <c r="J27" i="1"/>
  <c r="K27" i="1"/>
  <c r="L27" i="1"/>
  <c r="M27" i="1"/>
  <c r="H27" i="1"/>
  <c r="H45" i="1" a="1"/>
  <c r="N45" i="1" s="1"/>
  <c r="H56" i="1" a="1"/>
  <c r="G32" i="1" a="1"/>
  <c r="H31" i="1" a="1"/>
  <c r="H26" i="1" a="1"/>
  <c r="M26" i="1" l="1"/>
  <c r="G57" i="1" a="1"/>
  <c r="G57" i="1" s="1"/>
  <c r="G36" i="1"/>
  <c r="I17" i="1" a="1"/>
  <c r="I22" i="1" s="1"/>
  <c r="G46" i="1" a="1"/>
  <c r="G51" i="1" s="1"/>
  <c r="I31" i="1"/>
  <c r="L56" i="1"/>
  <c r="K56" i="1"/>
  <c r="J56" i="1"/>
  <c r="I56" i="1"/>
  <c r="H56" i="1"/>
  <c r="M56" i="1"/>
  <c r="J45" i="1"/>
  <c r="O45" i="1"/>
  <c r="P45" i="1"/>
  <c r="K45" i="1"/>
  <c r="Q45" i="1"/>
  <c r="L45" i="1"/>
  <c r="H45" i="1"/>
  <c r="I45" i="1"/>
  <c r="M45" i="1"/>
  <c r="G37" i="1"/>
  <c r="G39" i="1"/>
  <c r="G40" i="1"/>
  <c r="G41" i="1"/>
  <c r="G34" i="1"/>
  <c r="G33" i="1"/>
  <c r="G35" i="1"/>
  <c r="G38" i="1"/>
  <c r="G32" i="1"/>
  <c r="M31" i="1"/>
  <c r="H31" i="1"/>
  <c r="L31" i="1"/>
  <c r="K31" i="1"/>
  <c r="J31" i="1"/>
  <c r="I26" i="1"/>
  <c r="K26" i="1"/>
  <c r="L26" i="1"/>
  <c r="H26" i="1"/>
  <c r="J26" i="1"/>
  <c r="G60" i="1" l="1"/>
  <c r="G59" i="1"/>
  <c r="G58" i="1"/>
  <c r="G62" i="1"/>
  <c r="G61" i="1"/>
  <c r="G46" i="1"/>
  <c r="I17" i="1"/>
  <c r="G49" i="1"/>
  <c r="G47" i="1"/>
  <c r="I18" i="1"/>
  <c r="G48" i="1"/>
  <c r="I20" i="1"/>
  <c r="I21" i="1"/>
  <c r="G50" i="1"/>
  <c r="I1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<sst xmlns="http://schemas.openxmlformats.org/spreadsheetml/2006/main" count="29" uniqueCount="28">
  <si>
    <t>Variance-Covariance Calculations</t>
  </si>
  <si>
    <t>Given:</t>
  </si>
  <si>
    <t>Calculate the mean return of each stock using the Average function.</t>
  </si>
  <si>
    <t>Calculate the excess-return matrix.</t>
  </si>
  <si>
    <r>
      <t>Calculate the variance-covariance matrix by multiplying the transposed excess-return matrix (A</t>
    </r>
    <r>
      <rPr>
        <vertAlign val="superscript"/>
        <sz val="10"/>
        <rFont val="Arial"/>
        <family val="2"/>
      </rPr>
      <t>T</t>
    </r>
    <r>
      <rPr>
        <sz val="10"/>
        <rFont val="Arial"/>
        <family val="2"/>
      </rPr>
      <t>)</t>
    </r>
  </si>
  <si>
    <t>Name:</t>
  </si>
  <si>
    <r>
      <t>with the excess-return matrix(A) ie. (A</t>
    </r>
    <r>
      <rPr>
        <vertAlign val="superscript"/>
        <sz val="10"/>
        <rFont val="Arial"/>
        <family val="2"/>
      </rPr>
      <t>T</t>
    </r>
    <r>
      <rPr>
        <sz val="10"/>
        <rFont val="Arial"/>
        <family val="2"/>
      </rPr>
      <t>*A)</t>
    </r>
  </si>
  <si>
    <t>Authcate:</t>
  </si>
  <si>
    <t>Weekly returns for six stocks</t>
  </si>
  <si>
    <t>Transpose the excess-return matrix using the Transpose function and divide individual values by N, no of weeks</t>
  </si>
  <si>
    <t>File:</t>
  </si>
  <si>
    <t>SS3</t>
  </si>
  <si>
    <t>XASX:GEM</t>
  </si>
  <si>
    <t>XASX:JIN</t>
  </si>
  <si>
    <t>XASX:ACL</t>
  </si>
  <si>
    <t>XASX:MVF</t>
  </si>
  <si>
    <t>XASX:BCB</t>
  </si>
  <si>
    <t>XASX:PLS</t>
  </si>
  <si>
    <t>ALL ORDS</t>
  </si>
  <si>
    <t>G8 EDUCATION LIMITED</t>
  </si>
  <si>
    <t>JUMBO INTERACTIVE LIMITED</t>
  </si>
  <si>
    <t>Australian Clinical Labs Ltd</t>
  </si>
  <si>
    <t>MONASH IVF GROUP LIMITED</t>
  </si>
  <si>
    <t>BOWEN COKING COAL LIMITED</t>
  </si>
  <si>
    <t>PILBARA MINERALS LIMITED</t>
  </si>
  <si>
    <t>50nB0p5HxxhRxOduYtchCyvn96XxQXSgk2RTeqkJcyMjcQ1CDBHzrzZpo7BF5ZriP36V38Pb0G1lHigEsCw0V1E7TPqGkaWk4LlWiA4dfIgmwjLWWUa2AJt88RVYOsA2jNQoMSieKa44bl0XvWzKpKYQmSt</t>
  </si>
  <si>
    <t>Grant Fullston</t>
  </si>
  <si>
    <t>gful0002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</si>
</sst>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8" x14ac:knownFonts="1"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2"/>
      <name val="Arial"/>
      <family val="2"/>
    </font>
    <font>
      <sz val="11"/>
      <color rgb="FF222222"/>
      <name val="Calibri"/>
      <family val="2"/>
      <scheme val="minor"/>
    </font>
    <font>
      <u/>
      <sz val="11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3" fillId="0" borderId="0" applyFont="0" applyFill="0" applyBorder="0" applyAlignment="0" applyProtection="0"/>
  </cellStyleXfs>
  <cellXfs count="31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Continuous"/>
    </xf>
    <xf numFmtId="0" fontId="2" fillId="0" borderId="1" xfId="0" applyFont="1" applyBorder="1" applyAlignment="1">
      <alignment horizontal="left"/>
    </xf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/>
    <xf numFmtId="0" fontId="0" fillId="0" borderId="0" xfId="0" applyAlignment="1">
      <alignment horizontal="centerContinuous"/>
    </xf>
    <xf numFmtId="0" fontId="0" fillId="0" borderId="5" xfId="0" applyBorder="1"/>
    <xf numFmtId="0" fontId="2" fillId="0" borderId="0" xfId="0" applyFont="1"/>
    <xf numFmtId="0" fontId="2" fillId="0" borderId="4" xfId="0" applyFont="1" applyBorder="1"/>
    <xf numFmtId="164" fontId="2" fillId="0" borderId="0" xfId="0" applyNumberFormat="1" applyFont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0" xfId="0" applyNumberFormat="1" applyAlignment="1">
      <alignment horizontal="left"/>
    </xf>
    <xf numFmtId="0" fontId="2" fillId="0" borderId="6" xfId="0" applyFon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center"/>
    </xf>
    <xf numFmtId="0" fontId="3" fillId="0" borderId="0" xfId="0" applyFont="1"/>
    <xf numFmtId="164" fontId="0" fillId="0" borderId="0" xfId="0" applyNumberFormat="1"/>
    <xf numFmtId="0" fontId="5" fillId="2" borderId="0" xfId="0" applyFont="1" applyFill="1"/>
    <xf numFmtId="0" fontId="0" fillId="2" borderId="0" xfId="0" applyFill="1"/>
    <xf numFmtId="164" fontId="0" fillId="3" borderId="0" xfId="0" applyNumberFormat="1" applyFill="1" applyProtection="1">
      <protection locked="0"/>
    </xf>
    <xf numFmtId="0" fontId="2" fillId="0" borderId="5" xfId="0" applyFont="1" applyBorder="1" applyAlignment="1">
      <alignment horizontal="center"/>
    </xf>
    <xf numFmtId="14" fontId="2" fillId="0" borderId="4" xfId="0" applyNumberFormat="1" applyFont="1" applyBorder="1" applyAlignment="1">
      <alignment horizontal="center"/>
    </xf>
    <xf numFmtId="14" fontId="2" fillId="0" borderId="0" xfId="0" applyNumberFormat="1" applyFont="1" applyAlignment="1">
      <alignment horizontal="center"/>
    </xf>
    <xf numFmtId="0" fontId="6" fillId="0" borderId="0" xfId="0" applyFont="1"/>
    <xf numFmtId="22" fontId="0" fillId="0" borderId="0" xfId="0" applyNumberFormat="1"/>
  </cellXfs>
  <cellStyles count="4">
    <cellStyle name="Hyperlink 2" xfId="1" xr:uid="{00000000-0005-0000-0000-000000000000}"/>
    <cellStyle name="Normal" xfId="0" builtinId="0"/>
    <cellStyle name="Normal 2" xfId="2" xr:uid="{00000000-0005-0000-0000-000002000000}"/>
    <cellStyle name="Percent 2" xfId="3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imdin/Google%20Drive/People/Paul%20Lajbcygier/BFC3540%20Master%20Slave/Input_UG/W1SS_Sl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imdin/Google%20Drive/People/Paul%20Lajbcygier/BFC3540%20Master%20Slave/Input_UG/W2SS_Slav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Set 1 - Task 1"/>
      <sheetName val="Set 2 - Task 1"/>
      <sheetName val="Set 3 - Task 1"/>
      <sheetName val="Set 1 - Task 2"/>
      <sheetName val="Set 2 - Task 2"/>
      <sheetName val="Set 3 - Task 2"/>
      <sheetName val="Set 1 - Task 3"/>
      <sheetName val="Set 2 - Task 3"/>
      <sheetName val="Set 3 - Task 3"/>
      <sheetName val="Set 1 - Task 4"/>
      <sheetName val="Set 2 - Task 4"/>
      <sheetName val="Set 3 - Task 4"/>
      <sheetName val="Task 5"/>
      <sheetName val="CustomVariables"/>
    </sheetNames>
    <sheetDataSet>
      <sheetData sheetId="0"/>
      <sheetData sheetId="1">
        <row r="5">
          <cell r="C5" t="str">
            <v>PME</v>
          </cell>
        </row>
        <row r="6">
          <cell r="C6">
            <v>4.8790106097421147E-2</v>
          </cell>
          <cell r="D6">
            <v>7.7711447248867416E-3</v>
          </cell>
        </row>
        <row r="7">
          <cell r="C7">
            <v>-0.15144426015750448</v>
          </cell>
          <cell r="D7">
            <v>1.674847244943169E-2</v>
          </cell>
        </row>
        <row r="8">
          <cell r="C8">
            <v>6.8542319553220141E-2</v>
          </cell>
          <cell r="D8">
            <v>-3.0209532951997149E-2</v>
          </cell>
        </row>
        <row r="9">
          <cell r="C9">
            <v>8.8114811094751569E-2</v>
          </cell>
          <cell r="D9">
            <v>1.1347639497537415E-2</v>
          </cell>
        </row>
        <row r="10">
          <cell r="C10">
            <v>-1.9248130534839897E-2</v>
          </cell>
          <cell r="D10">
            <v>-4.1762728361975164E-2</v>
          </cell>
        </row>
        <row r="11">
          <cell r="C11">
            <v>0.13117295261812101</v>
          </cell>
          <cell r="D11">
            <v>6.8894827465107111E-2</v>
          </cell>
        </row>
        <row r="12">
          <cell r="C12">
            <v>1.4868204813948033E-2</v>
          </cell>
          <cell r="D12">
            <v>0.10974348391255122</v>
          </cell>
        </row>
        <row r="13">
          <cell r="C13">
            <v>-6.0847292916236737E-2</v>
          </cell>
          <cell r="D13">
            <v>-1.799614189274356E-2</v>
          </cell>
        </row>
        <row r="14">
          <cell r="C14">
            <v>7.5999148062151078E-2</v>
          </cell>
          <cell r="D14">
            <v>2.9613575774731581E-2</v>
          </cell>
        </row>
        <row r="15">
          <cell r="C15">
            <v>6.3127701909241413E-2</v>
          </cell>
          <cell r="D15">
            <v>-4.2645206267921103E-3</v>
          </cell>
        </row>
      </sheetData>
      <sheetData sheetId="2">
        <row r="5">
          <cell r="C5" t="str">
            <v>APX</v>
          </cell>
        </row>
        <row r="6">
          <cell r="C6">
            <v>1.2022471987461279E-2</v>
          </cell>
          <cell r="D6">
            <v>4.8544271265997018E-3</v>
          </cell>
        </row>
        <row r="7">
          <cell r="C7">
            <v>-5.032779257731862E-2</v>
          </cell>
          <cell r="D7">
            <v>1.4423374693800744E-2</v>
          </cell>
        </row>
        <row r="8">
          <cell r="C8">
            <v>1.1602093034815922E-2</v>
          </cell>
          <cell r="D8">
            <v>0.1524444381983136</v>
          </cell>
        </row>
        <row r="9">
          <cell r="C9">
            <v>8.4197558090808991E-2</v>
          </cell>
          <cell r="D9">
            <v>3.6221223908625921E-2</v>
          </cell>
        </row>
        <row r="10">
          <cell r="C10">
            <v>-3.2327721886488733E-2</v>
          </cell>
          <cell r="D10">
            <v>-0.10360536375190714</v>
          </cell>
        </row>
        <row r="11">
          <cell r="C11">
            <v>5.0914115515909658E-2</v>
          </cell>
          <cell r="D11">
            <v>4.3326571471279197E-2</v>
          </cell>
        </row>
        <row r="12">
          <cell r="C12">
            <v>2.021071369059237E-2</v>
          </cell>
          <cell r="D12">
            <v>0.14910016404118973</v>
          </cell>
        </row>
        <row r="13">
          <cell r="C13">
            <v>-6.608275980710647E-2</v>
          </cell>
          <cell r="D13">
            <v>-5.3484748786406078E-2</v>
          </cell>
        </row>
        <row r="14">
          <cell r="C14">
            <v>5.4243671481893324E-2</v>
          </cell>
          <cell r="D14">
            <v>-2.3548627696420868E-2</v>
          </cell>
        </row>
        <row r="15">
          <cell r="C15">
            <v>-3.9777696844799908E-3</v>
          </cell>
          <cell r="D15">
            <v>-6.5372201886148673E-2</v>
          </cell>
        </row>
      </sheetData>
      <sheetData sheetId="3">
        <row r="5">
          <cell r="C5" t="str">
            <v>QBE</v>
          </cell>
        </row>
        <row r="6">
          <cell r="C6">
            <v>2.3952107259548501E-3</v>
          </cell>
          <cell r="D6">
            <v>6.4308903302903314E-3</v>
          </cell>
        </row>
        <row r="7">
          <cell r="C7">
            <v>-1.8511595008412346E-2</v>
          </cell>
          <cell r="D7">
            <v>-1.8649407893977617E-2</v>
          </cell>
        </row>
        <row r="8">
          <cell r="C8">
            <v>-4.8860032056262086E-3</v>
          </cell>
          <cell r="D8">
            <v>-3.0781092761417118E-3</v>
          </cell>
        </row>
        <row r="9">
          <cell r="C9">
            <v>3.6076056473809591E-2</v>
          </cell>
          <cell r="D9">
            <v>2.6938249368167761E-3</v>
          </cell>
        </row>
        <row r="10">
          <cell r="C10">
            <v>3.929278139889557E-3</v>
          </cell>
          <cell r="D10">
            <v>2.8789904519965884E-2</v>
          </cell>
        </row>
        <row r="11">
          <cell r="C11">
            <v>1.9418085857101516E-2</v>
          </cell>
          <cell r="D11">
            <v>2.2887635789699295E-2</v>
          </cell>
        </row>
        <row r="12">
          <cell r="C12">
            <v>6.1349885675159293E-3</v>
          </cell>
          <cell r="D12">
            <v>3.648969206700321E-4</v>
          </cell>
        </row>
        <row r="13">
          <cell r="C13">
            <v>-3.3427130855523408E-2</v>
          </cell>
          <cell r="D13">
            <v>3.2780943578311068E-3</v>
          </cell>
        </row>
        <row r="14">
          <cell r="C14">
            <v>7.0894349704880054E-3</v>
          </cell>
          <cell r="D14">
            <v>-6.1875403718087411E-2</v>
          </cell>
        </row>
        <row r="15">
          <cell r="C15">
            <v>-7.880261425305863E-3</v>
          </cell>
          <cell r="D15">
            <v>7.4163234511780682E-2</v>
          </cell>
        </row>
      </sheetData>
      <sheetData sheetId="4"/>
      <sheetData sheetId="5"/>
      <sheetData sheetId="6"/>
      <sheetData sheetId="7">
        <row r="14">
          <cell r="C14">
            <v>0.5</v>
          </cell>
        </row>
      </sheetData>
      <sheetData sheetId="8">
        <row r="14">
          <cell r="C14">
            <v>0.5</v>
          </cell>
        </row>
      </sheetData>
      <sheetData sheetId="9">
        <row r="14">
          <cell r="C14">
            <v>0.5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Set 1 - Task 1"/>
      <sheetName val="Set 2 - Task 1"/>
      <sheetName val="Set 3 - Task 1"/>
      <sheetName val="Task 2"/>
      <sheetName val="CustomVariables"/>
    </sheetNames>
    <sheetDataSet>
      <sheetData sheetId="0"/>
      <sheetData sheetId="1">
        <row r="5">
          <cell r="D5" t="str">
            <v>PME</v>
          </cell>
          <cell r="E5" t="str">
            <v>RMD</v>
          </cell>
        </row>
      </sheetData>
      <sheetData sheetId="2">
        <row r="5">
          <cell r="D5" t="str">
            <v>APX</v>
          </cell>
          <cell r="E5" t="str">
            <v>APT</v>
          </cell>
        </row>
      </sheetData>
      <sheetData sheetId="3">
        <row r="5">
          <cell r="D5" t="str">
            <v>QBE</v>
          </cell>
          <cell r="E5" t="str">
            <v>ANZ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3"/>
  <sheetViews>
    <sheetView zoomScale="50" zoomScaleNormal="50" workbookViewId="0">
      <selection activeCell="B4" sqref="B4"/>
    </sheetView>
  </sheetViews>
  <sheetFormatPr baseColWidth="10" defaultColWidth="8.83203125" defaultRowHeight="15" x14ac:dyDescent="0.2"/>
  <sheetData>
    <row r="1" spans="1:5" ht="16" x14ac:dyDescent="0.2">
      <c r="A1" s="23" t="s">
        <v>5</v>
      </c>
      <c r="B1" s="23" t="s">
        <v>26</v>
      </c>
      <c r="C1" s="24"/>
      <c r="D1" s="24"/>
      <c r="E1" s="24"/>
    </row>
    <row r="2" spans="1:5" ht="16" x14ac:dyDescent="0.2">
      <c r="A2" s="23" t="s">
        <v>7</v>
      </c>
      <c r="B2" s="23" t="s">
        <v>27</v>
      </c>
      <c r="C2" s="24"/>
      <c r="D2" s="24"/>
      <c r="E2" s="24"/>
    </row>
    <row r="3" spans="1:5" x14ac:dyDescent="0.2">
      <c r="A3" t="s">
        <v>10</v>
      </c>
      <c r="B3" t="s">
        <v>11</v>
      </c>
    </row>
  </sheetData>
  <sheetProtection algorithmName="SHA-512" hashValue="oTY3KF5wNLgtEhroUtVVQZiB2+753GlksAGrq8auWhw0QJ51fRPw66WhKiyXKrAK9sc2ooC2f2SLGQelM784mQ==" saltValue="+tKzUBLbJOITN7fuqV9nkg==" spinCount="100000" sheet="1" objects="1" scenarios="1"/>
  <protectedRanges>
    <protectedRange sqref="B1:B2" name="Range1"/>
  </protectedRange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F1:AC62"/>
  <sheetViews>
    <sheetView tabSelected="1" topLeftCell="C1" zoomScale="139" zoomScaleNormal="50" workbookViewId="0">
      <selection activeCell="L61" sqref="L61"/>
    </sheetView>
  </sheetViews>
  <sheetFormatPr baseColWidth="10" defaultColWidth="8.83203125" defaultRowHeight="15" x14ac:dyDescent="0.2"/>
  <cols>
    <col min="6" max="6" width="10.5" bestFit="1" customWidth="1"/>
    <col min="7" max="7" width="10.83203125" customWidth="1"/>
    <col min="8" max="9" width="10.33203125" bestFit="1" customWidth="1"/>
    <col min="10" max="10" width="11.5" customWidth="1"/>
    <col min="11" max="13" width="10.33203125" bestFit="1" customWidth="1"/>
    <col min="14" max="14" width="10.5" bestFit="1" customWidth="1"/>
    <col min="15" max="15" width="10.1640625" bestFit="1" customWidth="1"/>
    <col min="16" max="17" width="10.33203125" bestFit="1" customWidth="1"/>
  </cols>
  <sheetData>
    <row r="1" spans="6:14" ht="18" x14ac:dyDescent="0.2">
      <c r="G1" s="1" t="s">
        <v>0</v>
      </c>
    </row>
    <row r="2" spans="6:14" ht="16" thickBot="1" x14ac:dyDescent="0.25"/>
    <row r="3" spans="6:14" x14ac:dyDescent="0.2">
      <c r="F3" s="2"/>
      <c r="G3" s="3" t="s">
        <v>1</v>
      </c>
      <c r="H3" s="4"/>
      <c r="I3" s="4"/>
      <c r="J3" s="4"/>
      <c r="K3" s="4"/>
      <c r="L3" s="4"/>
      <c r="M3" s="4"/>
      <c r="N3" s="5"/>
    </row>
    <row r="4" spans="6:14" x14ac:dyDescent="0.2">
      <c r="G4" s="6"/>
      <c r="H4" s="2" t="s">
        <v>8</v>
      </c>
      <c r="I4" s="7"/>
      <c r="J4" s="7"/>
      <c r="K4" s="7"/>
      <c r="L4" s="7"/>
      <c r="M4" s="7"/>
      <c r="N4" s="8"/>
    </row>
    <row r="5" spans="6:14" x14ac:dyDescent="0.2">
      <c r="F5" s="9"/>
      <c r="G5" s="10"/>
      <c r="H5" s="11" t="s">
        <v>12</v>
      </c>
      <c r="I5" s="11" t="s">
        <v>13</v>
      </c>
      <c r="J5" s="11" t="s">
        <v>14</v>
      </c>
      <c r="K5" s="11" t="s">
        <v>15</v>
      </c>
      <c r="L5" s="11" t="s">
        <v>16</v>
      </c>
      <c r="M5" s="11" t="s">
        <v>17</v>
      </c>
      <c r="N5" s="26" t="s">
        <v>18</v>
      </c>
    </row>
    <row r="6" spans="6:14" x14ac:dyDescent="0.2">
      <c r="F6" s="12"/>
      <c r="G6" s="27">
        <v>45019</v>
      </c>
      <c r="H6" s="14">
        <v>-2.5105921131076358E-2</v>
      </c>
      <c r="I6" s="14">
        <v>6.3794196577713888E-2</v>
      </c>
      <c r="J6" s="14">
        <v>5.6497325421191276E-3</v>
      </c>
      <c r="K6" s="14">
        <v>9.3023926623136306E-3</v>
      </c>
      <c r="L6" s="14">
        <v>3.9220713153281329E-2</v>
      </c>
      <c r="M6" s="14">
        <v>-8.7472950965052865E-2</v>
      </c>
      <c r="N6" s="15">
        <v>5.2349412429678393E-3</v>
      </c>
    </row>
    <row r="7" spans="6:14" x14ac:dyDescent="0.2">
      <c r="F7" s="12"/>
      <c r="G7" s="27">
        <v>45026</v>
      </c>
      <c r="H7" s="14">
        <v>3.3336420267591926E-2</v>
      </c>
      <c r="I7" s="14">
        <v>9.6332719771033033E-3</v>
      </c>
      <c r="J7" s="14">
        <v>-5.6497325421190209E-3</v>
      </c>
      <c r="K7" s="14">
        <v>4.5256591588120648E-2</v>
      </c>
      <c r="L7" s="14">
        <v>-1.9418085857101627E-2</v>
      </c>
      <c r="M7" s="14">
        <v>3.8048067637529964E-2</v>
      </c>
      <c r="N7" s="15">
        <v>1.9823790421550788E-2</v>
      </c>
    </row>
    <row r="8" spans="6:14" x14ac:dyDescent="0.2">
      <c r="F8" s="12"/>
      <c r="G8" s="27">
        <v>45033</v>
      </c>
      <c r="H8" s="14">
        <v>2.4292692569044483E-2</v>
      </c>
      <c r="I8" s="14">
        <v>-2.0865138463961787E-2</v>
      </c>
      <c r="J8" s="14">
        <v>4.9734005674138382E-2</v>
      </c>
      <c r="K8" s="14">
        <v>-3.6039936483196693E-2</v>
      </c>
      <c r="L8" s="14">
        <v>-4.0005334613699248E-2</v>
      </c>
      <c r="M8" s="14">
        <v>6.9526062648610096E-2</v>
      </c>
      <c r="N8" s="15">
        <v>-4.9591042665796609E-3</v>
      </c>
    </row>
    <row r="9" spans="6:14" x14ac:dyDescent="0.2">
      <c r="F9" s="12"/>
      <c r="G9" s="27">
        <v>45040</v>
      </c>
      <c r="H9" s="14">
        <v>-2.4292692569044587E-2</v>
      </c>
      <c r="I9" s="14">
        <v>-1.5939616412157187E-2</v>
      </c>
      <c r="J9" s="14">
        <v>-4.9734005674138444E-2</v>
      </c>
      <c r="K9" s="14">
        <v>5.7922647732704509E-2</v>
      </c>
      <c r="L9" s="14">
        <v>2.0202707317519469E-2</v>
      </c>
      <c r="M9" s="14">
        <v>5.3281366612936781E-2</v>
      </c>
      <c r="N9" s="15">
        <v>-2.91531812365704E-3</v>
      </c>
    </row>
    <row r="10" spans="6:14" x14ac:dyDescent="0.2">
      <c r="F10" s="12"/>
      <c r="G10" s="27">
        <v>45047</v>
      </c>
      <c r="H10" s="14">
        <v>-3.3336420267591836E-2</v>
      </c>
      <c r="I10" s="14">
        <v>7.6564238228592013E-2</v>
      </c>
      <c r="J10" s="14">
        <v>5.6497325421191276E-3</v>
      </c>
      <c r="K10" s="14">
        <v>4.3196611445163796E-3</v>
      </c>
      <c r="L10" s="14">
        <v>-0.12783337150988489</v>
      </c>
      <c r="M10" s="14">
        <v>3.7041271680349076E-2</v>
      </c>
      <c r="N10" s="15">
        <v>-1.1800971055641882E-2</v>
      </c>
    </row>
    <row r="11" spans="6:14" x14ac:dyDescent="0.2">
      <c r="F11" s="12"/>
      <c r="G11" s="27">
        <v>45054</v>
      </c>
      <c r="H11" s="14">
        <v>-2.575249610241474E-2</v>
      </c>
      <c r="I11" s="14">
        <v>9.1711401191070831E-3</v>
      </c>
      <c r="J11" s="14">
        <v>-1.4184634991956413E-2</v>
      </c>
      <c r="K11" s="14">
        <v>4.3010818993907017E-3</v>
      </c>
      <c r="L11" s="14">
        <v>0</v>
      </c>
      <c r="M11" s="14">
        <v>8.2836005579149177E-2</v>
      </c>
      <c r="N11" s="15">
        <v>5.394764972335017E-3</v>
      </c>
    </row>
    <row r="12" spans="6:14" x14ac:dyDescent="0.2">
      <c r="F12" s="12"/>
      <c r="G12" s="27">
        <v>45061</v>
      </c>
      <c r="H12" s="14">
        <v>-3.0907537463076548E-2</v>
      </c>
      <c r="I12" s="14">
        <v>2.9749686171060698E-2</v>
      </c>
      <c r="J12" s="14">
        <v>1.1363758650315003E-2</v>
      </c>
      <c r="K12" s="14">
        <v>0</v>
      </c>
      <c r="L12" s="14">
        <v>-4.6520015634892928E-2</v>
      </c>
      <c r="M12" s="14">
        <v>4.2995363260062668E-2</v>
      </c>
      <c r="N12" s="15">
        <v>2.4523118281902577E-3</v>
      </c>
    </row>
    <row r="13" spans="6:14" x14ac:dyDescent="0.2">
      <c r="F13" s="12"/>
      <c r="G13" s="27">
        <v>45068</v>
      </c>
      <c r="H13" s="14">
        <v>-4.1195756438267166E-2</v>
      </c>
      <c r="I13" s="14">
        <v>-3.2562627547675388E-2</v>
      </c>
      <c r="J13" s="14">
        <v>-8.8553397341445059E-2</v>
      </c>
      <c r="K13" s="14">
        <v>-2.1692824611259896E-2</v>
      </c>
      <c r="L13" s="14">
        <v>4.6520015634892907E-2</v>
      </c>
      <c r="M13" s="14">
        <v>-9.4508897710170653E-2</v>
      </c>
      <c r="N13" s="15">
        <v>-1.8506539253630272E-2</v>
      </c>
    </row>
    <row r="14" spans="6:14" x14ac:dyDescent="0.2">
      <c r="F14" s="12"/>
      <c r="G14" s="27">
        <v>45075</v>
      </c>
      <c r="H14" s="14">
        <v>-2.3641763057040653E-2</v>
      </c>
      <c r="I14" s="14">
        <v>5.4141347507291326E-2</v>
      </c>
      <c r="J14" s="14">
        <v>3.0816665374081144E-3</v>
      </c>
      <c r="K14" s="14">
        <v>8.7336799687546315E-3</v>
      </c>
      <c r="L14" s="14">
        <v>0</v>
      </c>
      <c r="M14" s="14">
        <v>-1.5538603427779161E-2</v>
      </c>
      <c r="N14" s="15">
        <v>-4.5002966864117364E-4</v>
      </c>
    </row>
    <row r="15" spans="6:14" x14ac:dyDescent="0.2">
      <c r="F15" s="12"/>
      <c r="G15" s="27">
        <v>45082</v>
      </c>
      <c r="H15" s="14">
        <v>-2.9128272923023713E-2</v>
      </c>
      <c r="I15" s="14">
        <v>-1.9535818329815782E-2</v>
      </c>
      <c r="J15" s="14">
        <v>2.7315810646962924E-2</v>
      </c>
      <c r="K15" s="14">
        <v>-8.7336799687546662E-3</v>
      </c>
      <c r="L15" s="14">
        <v>-0.2876820724517809</v>
      </c>
      <c r="M15" s="14">
        <v>6.0756209421072432E-2</v>
      </c>
      <c r="N15" s="15">
        <v>-2.5813515204445832E-3</v>
      </c>
    </row>
    <row r="16" spans="6:14" x14ac:dyDescent="0.2">
      <c r="F16" s="12"/>
      <c r="G16" s="13"/>
      <c r="H16" s="14"/>
      <c r="I16" s="14"/>
      <c r="J16" s="14"/>
      <c r="K16" s="14"/>
      <c r="L16" s="14"/>
      <c r="M16" s="14"/>
      <c r="N16" s="15"/>
    </row>
    <row r="17" spans="6:21" x14ac:dyDescent="0.2">
      <c r="F17" s="12"/>
      <c r="G17" s="13"/>
      <c r="H17" s="14"/>
      <c r="I17" s="14" t="str">
        <f t="array" ref="I17:I22">TRANSPOSE(Stock_Name)</f>
        <v>XASX:GEM</v>
      </c>
      <c r="J17" s="16" t="s">
        <v>19</v>
      </c>
      <c r="K17" s="14"/>
      <c r="L17" s="14"/>
      <c r="M17" s="14"/>
      <c r="N17" s="15"/>
    </row>
    <row r="18" spans="6:21" x14ac:dyDescent="0.2">
      <c r="F18" s="12"/>
      <c r="G18" s="13"/>
      <c r="H18" s="14"/>
      <c r="I18" s="14" t="str">
        <v>XASX:JIN</v>
      </c>
      <c r="J18" s="16" t="s">
        <v>20</v>
      </c>
      <c r="K18" s="14"/>
      <c r="L18" s="14"/>
      <c r="M18" s="14"/>
      <c r="N18" s="15"/>
    </row>
    <row r="19" spans="6:21" x14ac:dyDescent="0.2">
      <c r="F19" s="12"/>
      <c r="G19" s="13"/>
      <c r="H19" s="14"/>
      <c r="I19" s="14" t="str">
        <v>XASX:ACL</v>
      </c>
      <c r="J19" s="29" t="s">
        <v>21</v>
      </c>
      <c r="K19" s="14"/>
      <c r="L19" s="14"/>
      <c r="M19" s="14"/>
      <c r="N19" s="15"/>
    </row>
    <row r="20" spans="6:21" x14ac:dyDescent="0.2">
      <c r="F20" s="12"/>
      <c r="G20" s="13"/>
      <c r="H20" s="14"/>
      <c r="I20" s="14" t="str">
        <v>XASX:MVF</v>
      </c>
      <c r="J20" s="16" t="s">
        <v>22</v>
      </c>
      <c r="K20" s="14"/>
      <c r="L20" s="14"/>
      <c r="M20" s="14"/>
      <c r="N20" s="15"/>
    </row>
    <row r="21" spans="6:21" x14ac:dyDescent="0.2">
      <c r="F21" s="12"/>
      <c r="G21" s="13"/>
      <c r="H21" s="14"/>
      <c r="I21" s="14" t="str">
        <v>XASX:BCB</v>
      </c>
      <c r="J21" s="16" t="s">
        <v>23</v>
      </c>
      <c r="K21" s="14"/>
      <c r="L21" s="14"/>
      <c r="M21" s="14"/>
      <c r="N21" s="15"/>
    </row>
    <row r="22" spans="6:21" ht="16" thickBot="1" x14ac:dyDescent="0.25">
      <c r="F22" s="12"/>
      <c r="G22" s="17"/>
      <c r="H22" s="18"/>
      <c r="I22" s="18" t="str">
        <v>XASX:PLS</v>
      </c>
      <c r="J22" s="19" t="s">
        <v>24</v>
      </c>
      <c r="K22" s="18"/>
      <c r="L22" s="18"/>
      <c r="M22" s="18"/>
      <c r="N22" s="20"/>
    </row>
    <row r="24" spans="6:21" x14ac:dyDescent="0.2">
      <c r="F24" s="9"/>
      <c r="G24" s="21" t="s">
        <v>2</v>
      </c>
    </row>
    <row r="26" spans="6:21" x14ac:dyDescent="0.2">
      <c r="H26" s="11" t="str">
        <f t="array" ref="H26:M26">Stock_Name</f>
        <v>XASX:GEM</v>
      </c>
      <c r="I26" s="11" t="str">
        <v>XASX:JIN</v>
      </c>
      <c r="J26" s="11" t="str">
        <v>XASX:ACL</v>
      </c>
      <c r="K26" s="11" t="str">
        <v>XASX:MVF</v>
      </c>
      <c r="L26" s="11" t="str">
        <v>XASX:BCB</v>
      </c>
      <c r="M26" s="11" t="str">
        <v>XASX:PLS</v>
      </c>
      <c r="O26" s="9"/>
      <c r="P26" s="11"/>
      <c r="Q26" s="11"/>
      <c r="R26" s="11"/>
      <c r="S26" s="11"/>
      <c r="T26" s="11"/>
      <c r="U26" s="11"/>
    </row>
    <row r="27" spans="6:21" x14ac:dyDescent="0.2">
      <c r="H27" s="25">
        <f>AVERAGE(H6:H15)</f>
        <v>-1.7573174711489923E-2</v>
      </c>
      <c r="I27" s="25">
        <f t="shared" ref="I27:M27" si="0">AVERAGE(I6:I15)</f>
        <v>1.5415067982725817E-2</v>
      </c>
      <c r="J27" s="25">
        <f t="shared" si="0"/>
        <v>-5.5327063956596258E-3</v>
      </c>
      <c r="K27" s="25">
        <f t="shared" si="0"/>
        <v>6.3369613932589232E-3</v>
      </c>
      <c r="L27" s="25">
        <f t="shared" si="0"/>
        <v>-4.1551544396166581E-2</v>
      </c>
      <c r="M27" s="25">
        <f t="shared" si="0"/>
        <v>1.8696389473670756E-2</v>
      </c>
      <c r="P27" s="22"/>
      <c r="Q27" s="22"/>
      <c r="R27" s="22"/>
      <c r="S27" s="22"/>
      <c r="T27" s="22"/>
      <c r="U27" s="22"/>
    </row>
    <row r="29" spans="6:21" x14ac:dyDescent="0.2">
      <c r="F29" s="9"/>
      <c r="G29" t="s">
        <v>3</v>
      </c>
    </row>
    <row r="30" spans="6:21" x14ac:dyDescent="0.2">
      <c r="O30" s="9"/>
    </row>
    <row r="31" spans="6:21" x14ac:dyDescent="0.2">
      <c r="H31" s="11" t="str">
        <f t="array" ref="H31:M31">Stock_Name</f>
        <v>XASX:GEM</v>
      </c>
      <c r="I31" s="11" t="str">
        <v>XASX:JIN</v>
      </c>
      <c r="J31" s="11" t="str">
        <v>XASX:ACL</v>
      </c>
      <c r="K31" s="11" t="str">
        <v>XASX:MVF</v>
      </c>
      <c r="L31" s="11" t="str">
        <v>XASX:BCB</v>
      </c>
      <c r="M31" s="11" t="str">
        <v>XASX:PLS</v>
      </c>
      <c r="P31" s="11"/>
      <c r="Q31" s="11"/>
      <c r="R31" s="11"/>
      <c r="S31" s="11"/>
      <c r="T31" s="11"/>
      <c r="U31" s="11"/>
    </row>
    <row r="32" spans="6:21" x14ac:dyDescent="0.2">
      <c r="G32" s="28">
        <f t="array" ref="G32:G41">Stock_Dates</f>
        <v>45019</v>
      </c>
      <c r="H32" s="25">
        <f>H6-H$27</f>
        <v>-7.5327464195864349E-3</v>
      </c>
      <c r="I32" s="25">
        <f t="shared" ref="I32:M32" si="1">I6-I$27</f>
        <v>4.8379128594988073E-2</v>
      </c>
      <c r="J32" s="25">
        <f t="shared" si="1"/>
        <v>1.1182438937778753E-2</v>
      </c>
      <c r="K32" s="25">
        <f t="shared" si="1"/>
        <v>2.9654312690547075E-3</v>
      </c>
      <c r="L32" s="25">
        <f t="shared" si="1"/>
        <v>8.0772257549447918E-2</v>
      </c>
      <c r="M32" s="25">
        <f t="shared" si="1"/>
        <v>-0.10616934043872361</v>
      </c>
      <c r="O32" s="12"/>
      <c r="P32" s="22"/>
      <c r="Q32" s="22"/>
      <c r="R32" s="22"/>
      <c r="S32" s="22"/>
      <c r="T32" s="22"/>
      <c r="U32" s="22"/>
    </row>
    <row r="33" spans="6:29" x14ac:dyDescent="0.2">
      <c r="G33" s="28">
        <v>45026</v>
      </c>
      <c r="H33" s="25">
        <f>H7-H$27</f>
        <v>5.0909594979081846E-2</v>
      </c>
      <c r="I33" s="25">
        <f t="shared" ref="I33:M33" si="2">I7-I$27</f>
        <v>-5.7817960056225134E-3</v>
      </c>
      <c r="J33" s="25">
        <f t="shared" si="2"/>
        <v>-1.1702614645939507E-4</v>
      </c>
      <c r="K33" s="25">
        <f t="shared" si="2"/>
        <v>3.8919630194861728E-2</v>
      </c>
      <c r="L33" s="25">
        <f t="shared" si="2"/>
        <v>2.2133458539064954E-2</v>
      </c>
      <c r="M33" s="25">
        <f t="shared" si="2"/>
        <v>1.9351678163859208E-2</v>
      </c>
      <c r="O33" s="12"/>
      <c r="P33" s="22"/>
      <c r="Q33" s="22"/>
      <c r="R33" s="22"/>
      <c r="S33" s="22"/>
      <c r="T33" s="22"/>
      <c r="U33" s="22"/>
    </row>
    <row r="34" spans="6:29" x14ac:dyDescent="0.2">
      <c r="G34" s="28">
        <v>45033</v>
      </c>
      <c r="H34" s="25">
        <f t="shared" ref="H34:M41" si="3">H8-H$27</f>
        <v>4.1865867280534402E-2</v>
      </c>
      <c r="I34" s="25">
        <f t="shared" si="3"/>
        <v>-3.6280206446687606E-2</v>
      </c>
      <c r="J34" s="25">
        <f t="shared" si="3"/>
        <v>5.526671206979801E-2</v>
      </c>
      <c r="K34" s="25">
        <f t="shared" si="3"/>
        <v>-4.2376897876455613E-2</v>
      </c>
      <c r="L34" s="25">
        <f t="shared" si="3"/>
        <v>1.5462097824673338E-3</v>
      </c>
      <c r="M34" s="25">
        <f t="shared" si="3"/>
        <v>5.082967317493934E-2</v>
      </c>
      <c r="O34" s="12"/>
      <c r="P34" s="22"/>
      <c r="Q34" s="22"/>
      <c r="R34" s="22"/>
      <c r="S34" s="22"/>
      <c r="T34" s="22"/>
      <c r="U34" s="22"/>
    </row>
    <row r="35" spans="6:29" x14ac:dyDescent="0.2">
      <c r="G35" s="28">
        <v>45040</v>
      </c>
      <c r="H35" s="25">
        <f t="shared" si="3"/>
        <v>-6.7195178575546639E-3</v>
      </c>
      <c r="I35" s="25">
        <f t="shared" si="3"/>
        <v>-3.1354684394883002E-2</v>
      </c>
      <c r="J35" s="25">
        <f t="shared" si="3"/>
        <v>-4.4201299278478816E-2</v>
      </c>
      <c r="K35" s="25">
        <f t="shared" si="3"/>
        <v>5.1585686339445588E-2</v>
      </c>
      <c r="L35" s="25">
        <f t="shared" si="3"/>
        <v>6.1754251713686051E-2</v>
      </c>
      <c r="M35" s="25">
        <f t="shared" si="3"/>
        <v>3.4584977139266025E-2</v>
      </c>
      <c r="O35" s="12"/>
      <c r="P35" s="22"/>
      <c r="Q35" s="22"/>
      <c r="R35" s="22"/>
      <c r="S35" s="22"/>
      <c r="T35" s="22"/>
      <c r="U35" s="22"/>
    </row>
    <row r="36" spans="6:29" x14ac:dyDescent="0.2">
      <c r="G36" s="28">
        <v>45047</v>
      </c>
      <c r="H36" s="25">
        <f t="shared" si="3"/>
        <v>-1.5763245556101913E-2</v>
      </c>
      <c r="I36" s="25">
        <f t="shared" si="3"/>
        <v>6.1149170245866198E-2</v>
      </c>
      <c r="J36" s="25">
        <f t="shared" si="3"/>
        <v>1.1182438937778753E-2</v>
      </c>
      <c r="K36" s="25">
        <f t="shared" si="3"/>
        <v>-2.0173002487425436E-3</v>
      </c>
      <c r="L36" s="25">
        <f t="shared" si="3"/>
        <v>-8.6281827113718304E-2</v>
      </c>
      <c r="M36" s="25">
        <f t="shared" si="3"/>
        <v>1.834488220667832E-2</v>
      </c>
      <c r="O36" s="12"/>
      <c r="P36" s="22"/>
      <c r="Q36" s="22"/>
      <c r="R36" s="22"/>
      <c r="S36" s="22"/>
      <c r="T36" s="22"/>
      <c r="U36" s="22"/>
    </row>
    <row r="37" spans="6:29" x14ac:dyDescent="0.2">
      <c r="G37" s="28">
        <v>45054</v>
      </c>
      <c r="H37" s="25">
        <f t="shared" si="3"/>
        <v>-8.1793213909248166E-3</v>
      </c>
      <c r="I37" s="25">
        <f t="shared" si="3"/>
        <v>-6.2439278636187336E-3</v>
      </c>
      <c r="J37" s="25">
        <f t="shared" si="3"/>
        <v>-8.651928596296786E-3</v>
      </c>
      <c r="K37" s="25">
        <f t="shared" si="3"/>
        <v>-2.0358794938682215E-3</v>
      </c>
      <c r="L37" s="25">
        <f t="shared" si="3"/>
        <v>4.1551544396166581E-2</v>
      </c>
      <c r="M37" s="25">
        <f t="shared" si="3"/>
        <v>6.4139616105478414E-2</v>
      </c>
      <c r="O37" s="12"/>
      <c r="P37" s="22"/>
      <c r="Q37" s="22"/>
      <c r="R37" s="22"/>
      <c r="S37" s="22"/>
      <c r="T37" s="22"/>
      <c r="U37" s="22"/>
    </row>
    <row r="38" spans="6:29" x14ac:dyDescent="0.2">
      <c r="G38" s="28">
        <v>45061</v>
      </c>
      <c r="H38" s="25">
        <f t="shared" si="3"/>
        <v>-1.3334362751586625E-2</v>
      </c>
      <c r="I38" s="25">
        <f t="shared" si="3"/>
        <v>1.4334618188334881E-2</v>
      </c>
      <c r="J38" s="25">
        <f t="shared" si="3"/>
        <v>1.689646504597463E-2</v>
      </c>
      <c r="K38" s="25">
        <f t="shared" si="3"/>
        <v>-6.3369613932589232E-3</v>
      </c>
      <c r="L38" s="25">
        <f t="shared" si="3"/>
        <v>-4.9684712387263463E-3</v>
      </c>
      <c r="M38" s="25">
        <f t="shared" si="3"/>
        <v>2.4298973786391911E-2</v>
      </c>
      <c r="O38" s="12"/>
      <c r="P38" s="22"/>
      <c r="Q38" s="22"/>
      <c r="R38" s="22"/>
      <c r="S38" s="22"/>
      <c r="T38" s="22"/>
      <c r="U38" s="22"/>
    </row>
    <row r="39" spans="6:29" x14ac:dyDescent="0.2">
      <c r="G39" s="28">
        <v>45068</v>
      </c>
      <c r="H39" s="25">
        <f t="shared" si="3"/>
        <v>-2.3622581726777243E-2</v>
      </c>
      <c r="I39" s="25">
        <f t="shared" si="3"/>
        <v>-4.7977695530401203E-2</v>
      </c>
      <c r="J39" s="25">
        <f t="shared" si="3"/>
        <v>-8.302069094578543E-2</v>
      </c>
      <c r="K39" s="25">
        <f t="shared" si="3"/>
        <v>-2.802978600451882E-2</v>
      </c>
      <c r="L39" s="25">
        <f t="shared" si="3"/>
        <v>8.8071560031059481E-2</v>
      </c>
      <c r="M39" s="25">
        <f t="shared" si="3"/>
        <v>-0.1132052871838414</v>
      </c>
      <c r="O39" s="12"/>
      <c r="P39" s="22"/>
      <c r="Q39" s="22"/>
      <c r="R39" s="22"/>
      <c r="S39" s="22"/>
      <c r="T39" s="22"/>
      <c r="U39" s="22"/>
    </row>
    <row r="40" spans="6:29" x14ac:dyDescent="0.2">
      <c r="G40" s="28">
        <v>45075</v>
      </c>
      <c r="H40" s="25">
        <f t="shared" si="3"/>
        <v>-6.0685883455507302E-3</v>
      </c>
      <c r="I40" s="25">
        <f t="shared" si="3"/>
        <v>3.8726279524565511E-2</v>
      </c>
      <c r="J40" s="25">
        <f t="shared" si="3"/>
        <v>8.6143729330677397E-3</v>
      </c>
      <c r="K40" s="25">
        <f t="shared" si="3"/>
        <v>2.3967185754957083E-3</v>
      </c>
      <c r="L40" s="25">
        <f t="shared" si="3"/>
        <v>4.1551544396166581E-2</v>
      </c>
      <c r="M40" s="25">
        <f t="shared" si="3"/>
        <v>-3.423499290144992E-2</v>
      </c>
      <c r="O40" s="12"/>
      <c r="P40" s="22"/>
      <c r="Q40" s="22"/>
      <c r="R40" s="22"/>
      <c r="S40" s="22"/>
      <c r="T40" s="22"/>
      <c r="U40" s="22"/>
    </row>
    <row r="41" spans="6:29" x14ac:dyDescent="0.2">
      <c r="G41" s="28">
        <v>45082</v>
      </c>
      <c r="H41" s="25">
        <f t="shared" si="3"/>
        <v>-1.155509821153379E-2</v>
      </c>
      <c r="I41" s="25">
        <f t="shared" si="3"/>
        <v>-3.4950886312541597E-2</v>
      </c>
      <c r="J41" s="25">
        <f t="shared" si="3"/>
        <v>3.2848517042622552E-2</v>
      </c>
      <c r="K41" s="25">
        <f t="shared" si="3"/>
        <v>-1.5070641362013588E-2</v>
      </c>
      <c r="L41" s="25">
        <f t="shared" si="3"/>
        <v>-0.24613052805561431</v>
      </c>
      <c r="M41" s="25">
        <f t="shared" si="3"/>
        <v>4.2059819947401676E-2</v>
      </c>
      <c r="O41" s="12"/>
      <c r="P41" s="22"/>
      <c r="Q41" s="22"/>
      <c r="R41" s="22"/>
      <c r="S41" s="22"/>
      <c r="T41" s="22"/>
      <c r="U41" s="22"/>
    </row>
    <row r="43" spans="6:29" x14ac:dyDescent="0.2">
      <c r="F43" s="9"/>
      <c r="G43" t="s">
        <v>9</v>
      </c>
    </row>
    <row r="44" spans="6:29" x14ac:dyDescent="0.2">
      <c r="F44" s="9"/>
    </row>
    <row r="45" spans="6:29" x14ac:dyDescent="0.2">
      <c r="H45" s="28">
        <f t="array" ref="H45:Q45">TRANSPOSE(Stock_Dates)</f>
        <v>45019</v>
      </c>
      <c r="I45" s="28">
        <v>45026</v>
      </c>
      <c r="J45" s="28">
        <v>45033</v>
      </c>
      <c r="K45" s="28">
        <v>45040</v>
      </c>
      <c r="L45" s="28">
        <v>45047</v>
      </c>
      <c r="M45" s="28">
        <v>45054</v>
      </c>
      <c r="N45" s="28">
        <v>45061</v>
      </c>
      <c r="O45" s="28">
        <v>45068</v>
      </c>
      <c r="P45" s="28">
        <v>45075</v>
      </c>
      <c r="Q45" s="28">
        <v>45082</v>
      </c>
      <c r="T45" s="12"/>
      <c r="U45" s="12"/>
      <c r="V45" s="12"/>
      <c r="W45" s="12"/>
      <c r="X45" s="12"/>
      <c r="Y45" s="12"/>
      <c r="Z45" s="12"/>
      <c r="AA45" s="12"/>
      <c r="AB45" s="12"/>
      <c r="AC45" s="12"/>
    </row>
    <row r="46" spans="6:29" x14ac:dyDescent="0.2">
      <c r="G46" s="11" t="str">
        <f t="array" ref="G46:G51">TRANSPOSE(Stock_Name)</f>
        <v>XASX:GEM</v>
      </c>
      <c r="H46" s="25" cm="1">
        <f t="array" ref="H46:Q51">TRANSPOSE(H32:M41)/10</f>
        <v>-7.5327464195864354E-4</v>
      </c>
      <c r="I46" s="25">
        <v>5.0909594979081842E-3</v>
      </c>
      <c r="J46" s="25">
        <v>4.1865867280534404E-3</v>
      </c>
      <c r="K46" s="25">
        <v>-6.7195178575546639E-4</v>
      </c>
      <c r="L46" s="25">
        <v>-1.5763245556101914E-3</v>
      </c>
      <c r="M46" s="25">
        <v>-8.1793213909248162E-4</v>
      </c>
      <c r="N46" s="25">
        <v>-1.3334362751586625E-3</v>
      </c>
      <c r="O46" s="25">
        <v>-2.3622581726777244E-3</v>
      </c>
      <c r="P46" s="25">
        <v>-6.0685883455507299E-4</v>
      </c>
      <c r="Q46" s="25">
        <v>-1.1555098211533791E-3</v>
      </c>
      <c r="S46" s="9"/>
    </row>
    <row r="47" spans="6:29" x14ac:dyDescent="0.2">
      <c r="G47" s="11" t="str">
        <v>XASX:JIN</v>
      </c>
      <c r="H47" s="25">
        <v>4.837912859498807E-3</v>
      </c>
      <c r="I47" s="25">
        <v>-5.7817960056225136E-4</v>
      </c>
      <c r="J47" s="25">
        <v>-3.6280206446687607E-3</v>
      </c>
      <c r="K47" s="25">
        <v>-3.1354684394883001E-3</v>
      </c>
      <c r="L47" s="25">
        <v>6.1149170245866202E-3</v>
      </c>
      <c r="M47" s="25">
        <v>-6.2439278636187338E-4</v>
      </c>
      <c r="N47" s="25">
        <v>1.433461818833488E-3</v>
      </c>
      <c r="O47" s="25">
        <v>-4.7977695530401201E-3</v>
      </c>
      <c r="P47" s="25">
        <v>3.8726279524565511E-3</v>
      </c>
      <c r="Q47" s="25">
        <v>-3.4950886312541595E-3</v>
      </c>
      <c r="S47" s="9"/>
    </row>
    <row r="48" spans="6:29" x14ac:dyDescent="0.2">
      <c r="G48" s="11" t="str">
        <v>XASX:ACL</v>
      </c>
      <c r="H48" s="25">
        <v>1.1182438937778754E-3</v>
      </c>
      <c r="I48" s="25">
        <v>-1.1702614645939506E-5</v>
      </c>
      <c r="J48" s="25">
        <v>5.5266712069798008E-3</v>
      </c>
      <c r="K48" s="25">
        <v>-4.4201299278478819E-3</v>
      </c>
      <c r="L48" s="25">
        <v>1.1182438937778754E-3</v>
      </c>
      <c r="M48" s="25">
        <v>-8.6519285962967862E-4</v>
      </c>
      <c r="N48" s="25">
        <v>1.6896465045974629E-3</v>
      </c>
      <c r="O48" s="25">
        <v>-8.3020690945785434E-3</v>
      </c>
      <c r="P48" s="25">
        <v>8.61437293306774E-4</v>
      </c>
      <c r="Q48" s="25">
        <v>3.2848517042622554E-3</v>
      </c>
      <c r="S48" s="9"/>
    </row>
    <row r="49" spans="6:21" x14ac:dyDescent="0.2">
      <c r="G49" s="11" t="str">
        <v>XASX:MVF</v>
      </c>
      <c r="H49" s="25">
        <v>2.9654312690547075E-4</v>
      </c>
      <c r="I49" s="25">
        <v>3.8919630194861727E-3</v>
      </c>
      <c r="J49" s="25">
        <v>-4.237689787645561E-3</v>
      </c>
      <c r="K49" s="25">
        <v>5.1585686339445588E-3</v>
      </c>
      <c r="L49" s="25">
        <v>-2.0173002487425436E-4</v>
      </c>
      <c r="M49" s="25">
        <v>-2.0358794938682214E-4</v>
      </c>
      <c r="N49" s="25">
        <v>-6.3369613932589229E-4</v>
      </c>
      <c r="O49" s="25">
        <v>-2.802978600451882E-3</v>
      </c>
      <c r="P49" s="25">
        <v>2.3967185754957083E-4</v>
      </c>
      <c r="Q49" s="25">
        <v>-1.5070641362013588E-3</v>
      </c>
      <c r="S49" s="9"/>
    </row>
    <row r="50" spans="6:21" x14ac:dyDescent="0.2">
      <c r="G50" s="11" t="str">
        <v>XASX:BCB</v>
      </c>
      <c r="H50" s="25">
        <v>8.0772257549447911E-3</v>
      </c>
      <c r="I50" s="25">
        <v>2.2133458539064952E-3</v>
      </c>
      <c r="J50" s="25">
        <v>1.5462097824673338E-4</v>
      </c>
      <c r="K50" s="25">
        <v>6.1754251713686051E-3</v>
      </c>
      <c r="L50" s="25">
        <v>-8.6281827113718311E-3</v>
      </c>
      <c r="M50" s="25">
        <v>4.1551544396166585E-3</v>
      </c>
      <c r="N50" s="25">
        <v>-4.9684712387263461E-4</v>
      </c>
      <c r="O50" s="25">
        <v>8.8071560031059478E-3</v>
      </c>
      <c r="P50" s="25">
        <v>4.1551544396166585E-3</v>
      </c>
      <c r="Q50" s="25">
        <v>-2.461305280556143E-2</v>
      </c>
      <c r="S50" s="9"/>
    </row>
    <row r="51" spans="6:21" x14ac:dyDescent="0.2">
      <c r="G51" s="11" t="str">
        <v>XASX:PLS</v>
      </c>
      <c r="H51" s="25">
        <v>-1.0616934043872362E-2</v>
      </c>
      <c r="I51" s="25">
        <v>1.9351678163859209E-3</v>
      </c>
      <c r="J51" s="25">
        <v>5.0829673174939338E-3</v>
      </c>
      <c r="K51" s="25">
        <v>3.4584977139266023E-3</v>
      </c>
      <c r="L51" s="25">
        <v>1.8344882206678321E-3</v>
      </c>
      <c r="M51" s="25">
        <v>6.4139616105478416E-3</v>
      </c>
      <c r="N51" s="25">
        <v>2.4298973786391911E-3</v>
      </c>
      <c r="O51" s="25">
        <v>-1.132052871838414E-2</v>
      </c>
      <c r="P51" s="25">
        <v>-3.4234992901449922E-3</v>
      </c>
      <c r="Q51" s="25">
        <v>4.205981994740168E-3</v>
      </c>
      <c r="S51" s="9"/>
    </row>
    <row r="53" spans="6:21" ht="16" x14ac:dyDescent="0.2">
      <c r="F53" s="9"/>
      <c r="G53" s="21" t="s">
        <v>4</v>
      </c>
    </row>
    <row r="54" spans="6:21" ht="16" x14ac:dyDescent="0.2">
      <c r="F54" s="9"/>
      <c r="G54" s="21" t="s">
        <v>6</v>
      </c>
    </row>
    <row r="55" spans="6:21" x14ac:dyDescent="0.2">
      <c r="F55" s="9"/>
      <c r="G55" s="21"/>
    </row>
    <row r="56" spans="6:21" x14ac:dyDescent="0.2">
      <c r="H56" s="11" t="str">
        <f t="array" ref="H56:M56">Stock_Name</f>
        <v>XASX:GEM</v>
      </c>
      <c r="I56" s="11" t="str">
        <v>XASX:JIN</v>
      </c>
      <c r="J56" s="11" t="str">
        <v>XASX:ACL</v>
      </c>
      <c r="K56" s="11" t="str">
        <v>XASX:MVF</v>
      </c>
      <c r="L56" s="11" t="str">
        <v>XASX:BCB</v>
      </c>
      <c r="M56" s="11" t="str">
        <v>XASX:PLS</v>
      </c>
      <c r="P56" s="11"/>
      <c r="Q56" s="11"/>
      <c r="R56" s="11"/>
      <c r="S56" s="11"/>
      <c r="T56" s="11"/>
      <c r="U56" s="11"/>
    </row>
    <row r="57" spans="6:21" x14ac:dyDescent="0.2">
      <c r="G57" s="11" t="str">
        <f t="array" ref="G57:G62">TRANSPOSE(Stock_Name)</f>
        <v>XASX:GEM</v>
      </c>
      <c r="H57" s="25" cm="1">
        <f t="array" ref="H57:M62">MMULT(_xlfn.ANCHORARRAY(H46),H32:M41)</f>
        <v>5.6679927584383876E-4</v>
      </c>
      <c r="I57" s="25">
        <v>-1.7687677300688682E-4</v>
      </c>
      <c r="J57" s="25">
        <v>3.7191179345548583E-4</v>
      </c>
      <c r="K57" s="25">
        <v>7.92952852518229E-5</v>
      </c>
      <c r="L57" s="25">
        <v>1.766038263796946E-4</v>
      </c>
      <c r="M57" s="25">
        <v>4.9387159252975497E-4</v>
      </c>
      <c r="O57" s="9"/>
    </row>
    <row r="58" spans="6:21" x14ac:dyDescent="0.2">
      <c r="G58" s="11" t="str">
        <v>XASX:JIN</v>
      </c>
      <c r="H58" s="25">
        <v>-1.768767730068869E-4</v>
      </c>
      <c r="I58" s="25">
        <v>1.368017624576223E-3</v>
      </c>
      <c r="J58" s="25">
        <v>4.0711858558173738E-4</v>
      </c>
      <c r="K58" s="25">
        <v>1.6012998387745589E-4</v>
      </c>
      <c r="L58" s="25">
        <v>2.1667566257815548E-4</v>
      </c>
      <c r="M58" s="25">
        <v>-4.4716650972130426E-4</v>
      </c>
      <c r="O58" s="9"/>
    </row>
    <row r="59" spans="6:21" x14ac:dyDescent="0.2">
      <c r="G59" s="11" t="str">
        <v>XASX:ACL</v>
      </c>
      <c r="H59" s="25">
        <v>3.7191179345548588E-4</v>
      </c>
      <c r="I59" s="25">
        <v>4.0711858558173749E-4</v>
      </c>
      <c r="J59" s="25">
        <v>1.3664285914755181E-3</v>
      </c>
      <c r="K59" s="25">
        <v>-2.8529461243365968E-4</v>
      </c>
      <c r="L59" s="25">
        <v>-1.819065955787594E-3</v>
      </c>
      <c r="M59" s="25">
        <v>1.0636837952495638E-3</v>
      </c>
      <c r="O59" s="9"/>
    </row>
    <row r="60" spans="6:21" x14ac:dyDescent="0.2">
      <c r="G60" s="11" t="str">
        <v>XASX:MVF</v>
      </c>
      <c r="H60" s="25">
        <v>7.9295285251822914E-5</v>
      </c>
      <c r="I60" s="25">
        <v>1.6012998387745592E-4</v>
      </c>
      <c r="J60" s="25">
        <v>-2.8529461243365962E-4</v>
      </c>
      <c r="K60" s="25">
        <v>7.047324685617955E-4</v>
      </c>
      <c r="L60" s="25">
        <v>5.6823152031215338E-4</v>
      </c>
      <c r="M60" s="25">
        <v>2.2040387347240916E-4</v>
      </c>
      <c r="O60" s="9"/>
    </row>
    <row r="61" spans="6:21" x14ac:dyDescent="0.2">
      <c r="G61" s="11" t="str">
        <v>XASX:BCB</v>
      </c>
      <c r="H61" s="25">
        <v>1.766038263796946E-4</v>
      </c>
      <c r="I61" s="25">
        <v>2.1667566257815548E-4</v>
      </c>
      <c r="J61" s="25">
        <v>-1.819065955787594E-3</v>
      </c>
      <c r="K61" s="25">
        <v>5.6823152031215338E-4</v>
      </c>
      <c r="L61" s="25">
        <v>9.0089163553128421E-3</v>
      </c>
      <c r="M61" s="25">
        <v>-2.6716202390074098E-3</v>
      </c>
      <c r="O61" s="9"/>
    </row>
    <row r="62" spans="6:21" x14ac:dyDescent="0.2">
      <c r="G62" s="11" t="str">
        <v>XASX:PLS</v>
      </c>
      <c r="H62" s="25">
        <v>4.9387159252975497E-4</v>
      </c>
      <c r="I62" s="25">
        <v>-4.4716650972130437E-4</v>
      </c>
      <c r="J62" s="25">
        <v>1.0636837952495638E-3</v>
      </c>
      <c r="K62" s="25">
        <v>2.2040387347240916E-4</v>
      </c>
      <c r="L62" s="25">
        <v>-2.6716202390074106E-3</v>
      </c>
      <c r="M62" s="25">
        <v>3.6223558039498874E-3</v>
      </c>
      <c r="O62" s="9"/>
    </row>
  </sheetData>
  <sheetProtection algorithmName="SHA-512" hashValue="FfCzJdbNl4VTN4Rocte4q+1Yf91z4emR0fzaZv62H4vTMo/+WlPCHQMNZ+3pvi5qO0YAIElWbZBHP0euZFJelA==" saltValue="rwywvicSS6k2KzqV8rrIEw==" spinCount="100000" sheet="1" objects="1" scenarios="1"/>
  <protectedRanges>
    <protectedRange sqref="H46:Q51 H57:M62" name="Range1"/>
    <protectedRange sqref="H27:M27" name="Range1_1"/>
    <protectedRange sqref="H32:M41" name="Range1_2"/>
  </protectedRange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64751-7EC0-415A-B9EA-40C66BFA07F9}">
  <sheetPr codeName="Sheet3"/>
  <dimension ref="BF2:DJ40"/>
  <sheetViews>
    <sheetView zoomScale="50" zoomScaleNormal="50" workbookViewId="0"/>
  </sheetViews>
  <sheetFormatPr baseColWidth="10" defaultColWidth="8.83203125" defaultRowHeight="15" x14ac:dyDescent="0.2"/>
  <sheetData>
    <row r="2" spans="58:61" x14ac:dyDescent="0.2">
      <c r="BF2" s="30">
        <v>45159.65761574074</v>
      </c>
    </row>
    <row r="4" spans="58:61" x14ac:dyDescent="0.2">
      <c r="BI4" t="s">
        <v>27</v>
      </c>
    </row>
    <row r="40" spans="114:114" x14ac:dyDescent="0.2">
      <c r="DJ40" t="s">
        <v>25</v>
      </c>
    </row>
  </sheetData>
  <sheetProtection algorithmName="SHA-512" hashValue="kyk1W2NAvuYYFzq0JAV9jdYRdMKE4Sl3sGUQp3HfLL2qpuSx6O23OGo/eVOzT/tMK11ACTjPBBaLAUuVRxE9uQ==" saltValue="WChV4jOq7nfL6p6FWLNqK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Name</vt:lpstr>
      <vt:lpstr>VarCov</vt:lpstr>
      <vt:lpstr>df_1</vt:lpstr>
      <vt:lpstr>Stock_Dates</vt:lpstr>
      <vt:lpstr>Stock_Name</vt:lpstr>
    </vt:vector>
  </TitlesOfParts>
  <Company>Monash University Library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Monash University Library</dc:creator>
  <cp:lastModifiedBy>Grant Fullston</cp:lastModifiedBy>
  <dcterms:created xsi:type="dcterms:W3CDTF">2010-03-02T00:49:43Z</dcterms:created>
  <dcterms:modified xsi:type="dcterms:W3CDTF">2023-08-31T02:32:55Z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FC3540A">
    <vt:lpwstr>2019Semester2</vt:lpwstr>
  </property>
  <property fmtid="{D5CDD505-2E9C-101B-9397-08002B2CF9AE}" pid="3" name="BFC3540B">
    <vt:lpwstr>ÍÏÎÇ¬Î|¼</vt:lpwstr>
  </property>
  <property fmtid="{D5CDD505-2E9C-101B-9397-08002B2CF9AE}" pid="4" name="BFC3540C">
    <vt:lpwstr>ÍÏÎÇ¬Î|½¹¼ÌÊËÏ «¯</vt:lpwstr>
  </property>
  <property fmtid="{D5CDD505-2E9C-101B-9397-08002B2CF9AE}" pid="5" name="BFC3540D">
    <vt:lpwstr>ÍÏÎÇ¬Î|</vt:lpwstr>
  </property>
  <property fmtid="{D5CDD505-2E9C-101B-9397-08002B2CF9AE}" pid="6" name="BFC3540E">
    <vt:lpwstr>ÍÏÎÇ¬Î|</vt:lpwstr>
  </property>
  <property fmtid="{D5CDD505-2E9C-101B-9397-08002B2CF9AE}" pid="7" name="BFC3540F">
    <vt:lpwstr>161280</vt:lpwstr>
  </property>
</Properties>
</file>