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g/Desktop/Uni Sub/2023/Sem2/BFC3540 Financial Modelling/Week3/"/>
    </mc:Choice>
  </mc:AlternateContent>
  <xr:revisionPtr revIDLastSave="0" documentId="13_ncr:1_{E73DA93D-4E66-0E4B-868E-C31EBD9D4A04}" xr6:coauthVersionLast="47" xr6:coauthVersionMax="47" xr10:uidLastSave="{00000000-0000-0000-0000-000000000000}"/>
  <bookViews>
    <workbookView xWindow="-38400" yWindow="-3100" windowWidth="38400" windowHeight="21100" activeTab="4" xr2:uid="{00000000-000D-0000-FFFF-FFFF00000000}"/>
  </bookViews>
  <sheets>
    <sheet name="Name" sheetId="3" r:id="rId1"/>
    <sheet name="Set 1 - Task 1" sheetId="1" r:id="rId2"/>
    <sheet name="Set 2 - Task 1" sheetId="4" state="hidden" r:id="rId3"/>
    <sheet name="Set 3 - Task 1" sheetId="5" state="hidden" r:id="rId4"/>
    <sheet name="Task 2" sheetId="6" r:id="rId5"/>
    <sheet name="other" sheetId="8" state="veryHidden" r:id="rId6"/>
  </sheets>
  <externalReferences>
    <externalReference r:id="rId7"/>
  </externalReferences>
  <definedNames>
    <definedName name="â" hidden="1">other!$BA$18</definedName>
    <definedName name="CustomVariablesStoredValue">#REF!</definedName>
    <definedName name="CustomVariablesValue">#REF!</definedName>
    <definedName name="df_1">'Set 1 - Task 1'!$V$68:$Y$82,'Set 1 - Task 1'!$U$81,'Set 1 - Task 1'!$U$85,'Set 1 - Task 1'!$U$89,'Set 1 - Task 1'!$U$98,'Set 1 - Task 1'!$U$99,'Set 1 - Task 1'!$U$100,'Set 1 - Task 1'!$U$56:$W$58,'Set 1 - Task 1'!$V$38:$W$49</definedName>
    <definedName name="df_2">'Set 2 - Task 1'!$W$35,'Set 2 - Task 1'!$S$35:$V$46,'Set 2 - Task 1'!$R$53:$T$55,'Set 2 - Task 1'!$S$65:$X$79,'Set 2 - Task 1'!$R$78,'Set 2 - Task 1'!$R$83,'Set 2 - Task 1'!$R$82,'Set 2 - Task 1'!$R$86,'Set 2 - Task 1'!$R$95:$R$100</definedName>
    <definedName name="df_3">'Set 3 - Task 1'!$U$36,'Set 3 - Task 1'!$P$32:$T$43,'Set 3 - Task 1'!$O$50:$R$52,'Set 3 - Task 1'!$P$62:$T$74,'Set 3 - Task 1'!$O$75,'Set 3 - Task 1'!$O$79,'Set 3 - Task 1'!$O$83,'Set 3 - Task 1'!$O$92:$O$98</definedName>
    <definedName name="df_4">'Task 2'!$N$56:$P$78,'Task 2'!$N$48:$O$50,'Task 2'!$N$40:$O$42,'Task 2'!$N$32:$P$35,'Task 2'!$M$24:$P$28</definedName>
    <definedName name="è" hidden="1">other!$DJ$56</definedName>
    <definedName name="î" hidden="1">other!$CA$20</definedName>
    <definedName name="ö" hidden="1">other!$DA$26</definedName>
    <definedName name="Portfolio_Mean1">'[1]Set 1 - Task 3'!$C$19</definedName>
    <definedName name="Portfolio_Mean2">'[1]Set 2 - Task 3'!$C$19</definedName>
    <definedName name="Portfolio_Mean3">'[1]Set 3 - Task 3'!$C$19</definedName>
    <definedName name="Range1" hidden="1">other!$BB$18</definedName>
    <definedName name="Range2" hidden="1">other!$BE$20</definedName>
    <definedName name="Range3" hidden="1">other!$CR$26</definedName>
    <definedName name="Range4" hidden="1">other!$DF$56</definedName>
    <definedName name="Stock_Dates">'Set 1 - Task 1'!$U$20:$U$31</definedName>
    <definedName name="Stock1">'Set 1 - Task 1'!$V$18</definedName>
    <definedName name="Stock1_Data">'[1]Set 1 - Task 1'!$C$6:$C$15</definedName>
    <definedName name="Stock1_Proportion">'[1]Set 1 - Task 3'!$C$14</definedName>
    <definedName name="Stock2">'Set 1 - Task 1'!$W$18</definedName>
    <definedName name="Stock2_Data">'[1]Set 1 - Task 1'!$D$6:$D$15</definedName>
    <definedName name="Stock3">'Set 2 - Task 1'!$S$15</definedName>
    <definedName name="Stock3_Data">'[1]Set 2 - Task 1'!$C$6:$C$15</definedName>
    <definedName name="Stock3_Proportion">'[1]Set 2 - Task 3'!$C$14</definedName>
    <definedName name="Stock4">'Set 2 - Task 1'!$T$15</definedName>
    <definedName name="Stock4_Data">'[1]Set 2 - Task 1'!$D$6:$D$15</definedName>
    <definedName name="Stock5">'Set 3 - Task 1'!$P$12</definedName>
    <definedName name="Stock5_Data">'[1]Set 3 - Task 1'!$C$6:$C$15</definedName>
    <definedName name="Stock5_Proportion">'[1]Set 3 - Task 3'!$C$14</definedName>
    <definedName name="Stock6">'Set 3 - Task 1'!$Q$12</definedName>
    <definedName name="Stock6_Data">'[1]Set 3 - Task 1'!$D$6:$D$15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100" i="1" l="1"/>
  <c r="N49" i="6"/>
  <c r="N50" i="6" s="1"/>
  <c r="N56" i="6" s="1"/>
  <c r="N41" i="6"/>
  <c r="N40" i="6" a="1"/>
  <c r="N40" i="6" s="1"/>
  <c r="O34" i="6"/>
  <c r="N34" i="6"/>
  <c r="M24" i="6" a="1"/>
  <c r="M24" i="6" s="1"/>
  <c r="M27" i="6"/>
  <c r="O24" i="6" a="1"/>
  <c r="O24" i="6" s="1"/>
  <c r="O27" i="6"/>
  <c r="O32" i="6" a="1"/>
  <c r="O32" i="6" s="1"/>
  <c r="N32" i="6" a="1"/>
  <c r="N32" i="6" s="1"/>
  <c r="U89" i="1"/>
  <c r="U85" i="1"/>
  <c r="U81" i="1"/>
  <c r="V58" i="1"/>
  <c r="U58" i="1"/>
  <c r="U99" i="1"/>
  <c r="U98" i="1"/>
  <c r="Y69" i="1"/>
  <c r="Y70" i="1"/>
  <c r="Y71" i="1"/>
  <c r="Y72" i="1"/>
  <c r="Y73" i="1"/>
  <c r="Y74" i="1"/>
  <c r="Y75" i="1"/>
  <c r="Y76" i="1"/>
  <c r="Y77" i="1"/>
  <c r="Y78" i="1"/>
  <c r="Y79" i="1"/>
  <c r="Y68" i="1"/>
  <c r="V69" i="1"/>
  <c r="W69" i="1"/>
  <c r="V70" i="1"/>
  <c r="W70" i="1"/>
  <c r="V71" i="1"/>
  <c r="W71" i="1"/>
  <c r="V72" i="1"/>
  <c r="W72" i="1"/>
  <c r="V73" i="1"/>
  <c r="W73" i="1"/>
  <c r="V74" i="1"/>
  <c r="W74" i="1"/>
  <c r="V75" i="1"/>
  <c r="W75" i="1"/>
  <c r="V76" i="1"/>
  <c r="W76" i="1"/>
  <c r="V77" i="1"/>
  <c r="W77" i="1"/>
  <c r="V78" i="1"/>
  <c r="W78" i="1"/>
  <c r="V79" i="1"/>
  <c r="W79" i="1"/>
  <c r="W68" i="1"/>
  <c r="V68" i="1"/>
  <c r="V57" i="1"/>
  <c r="U57" i="1"/>
  <c r="V56" i="1"/>
  <c r="U56" i="1"/>
  <c r="W42" i="1"/>
  <c r="W38" i="1"/>
  <c r="W39" i="1"/>
  <c r="W40" i="1"/>
  <c r="W41" i="1"/>
  <c r="W43" i="1"/>
  <c r="W44" i="1"/>
  <c r="W45" i="1"/>
  <c r="W46" i="1"/>
  <c r="W47" i="1"/>
  <c r="W48" i="1"/>
  <c r="W49" i="1"/>
  <c r="V39" i="1"/>
  <c r="V40" i="1"/>
  <c r="V41" i="1"/>
  <c r="V42" i="1"/>
  <c r="V43" i="1"/>
  <c r="V44" i="1"/>
  <c r="V45" i="1"/>
  <c r="V46" i="1"/>
  <c r="V47" i="1"/>
  <c r="V48" i="1"/>
  <c r="V49" i="1"/>
  <c r="V38" i="1"/>
  <c r="P49" i="5"/>
  <c r="O49" i="5"/>
  <c r="S52" i="4"/>
  <c r="V55" i="1"/>
  <c r="V37" i="1"/>
  <c r="N81" i="5"/>
  <c r="O62" i="5" a="1"/>
  <c r="O67" i="5" s="1"/>
  <c r="N54" i="5"/>
  <c r="O32" i="5" a="1"/>
  <c r="Q31" i="5"/>
  <c r="P31" i="5"/>
  <c r="R65" i="4" a="1"/>
  <c r="R35" i="4" a="1"/>
  <c r="R41" i="4" s="1"/>
  <c r="T34" i="4"/>
  <c r="T95" i="1"/>
  <c r="U68" i="1" a="1"/>
  <c r="U38" i="1" a="1"/>
  <c r="N47" i="6"/>
  <c r="N48" i="6" s="1"/>
  <c r="O56" i="6" s="1"/>
  <c r="P19" i="6"/>
  <c r="P17" i="6"/>
  <c r="O14" i="6"/>
  <c r="N14" i="6"/>
  <c r="M14" i="6"/>
  <c r="N13" i="6"/>
  <c r="M13" i="6"/>
  <c r="M12" i="6"/>
  <c r="M25" i="6" l="1"/>
  <c r="N33" i="6" s="1" a="1"/>
  <c r="N33" i="6" s="1"/>
  <c r="M26" i="6"/>
  <c r="O33" i="6" a="1"/>
  <c r="O33" i="6" s="1"/>
  <c r="O26" i="6"/>
  <c r="O25" i="6"/>
  <c r="N89" i="5"/>
  <c r="Q93" i="4"/>
  <c r="N90" i="5"/>
  <c r="Q84" i="4"/>
  <c r="R75" i="4"/>
  <c r="T96" i="1"/>
  <c r="U43" i="1"/>
  <c r="Q92" i="4"/>
  <c r="U72" i="1"/>
  <c r="T87" i="1"/>
  <c r="Q57" i="4"/>
  <c r="U55" i="1"/>
  <c r="R52" i="4"/>
  <c r="W37" i="1"/>
  <c r="S34" i="4"/>
  <c r="O38" i="5"/>
  <c r="O68" i="5"/>
  <c r="O70" i="5"/>
  <c r="O71" i="5"/>
  <c r="O72" i="5"/>
  <c r="O64" i="5"/>
  <c r="O63" i="5"/>
  <c r="O73" i="5"/>
  <c r="O65" i="5"/>
  <c r="O69" i="5"/>
  <c r="O62" i="5"/>
  <c r="O66" i="5"/>
  <c r="O32" i="5"/>
  <c r="O41" i="5"/>
  <c r="O33" i="5"/>
  <c r="O39" i="5"/>
  <c r="O40" i="5"/>
  <c r="O42" i="5"/>
  <c r="O34" i="5"/>
  <c r="O43" i="5"/>
  <c r="O35" i="5"/>
  <c r="O36" i="5"/>
  <c r="O37" i="5"/>
  <c r="R70" i="4"/>
  <c r="R69" i="4"/>
  <c r="R68" i="4"/>
  <c r="R76" i="4"/>
  <c r="R66" i="4"/>
  <c r="R74" i="4"/>
  <c r="R65" i="4"/>
  <c r="R73" i="4"/>
  <c r="R72" i="4"/>
  <c r="R71" i="4"/>
  <c r="R67" i="4"/>
  <c r="R43" i="4"/>
  <c r="R35" i="4"/>
  <c r="R44" i="4"/>
  <c r="R36" i="4"/>
  <c r="R46" i="4"/>
  <c r="R38" i="4"/>
  <c r="R45" i="4"/>
  <c r="R37" i="4"/>
  <c r="R39" i="4"/>
  <c r="R42" i="4"/>
  <c r="R40" i="4"/>
  <c r="U71" i="1"/>
  <c r="U78" i="1"/>
  <c r="U79" i="1"/>
  <c r="U70" i="1"/>
  <c r="U69" i="1"/>
  <c r="U77" i="1"/>
  <c r="U75" i="1"/>
  <c r="U76" i="1"/>
  <c r="U74" i="1"/>
  <c r="U68" i="1"/>
  <c r="U73" i="1"/>
  <c r="U45" i="1"/>
  <c r="U38" i="1"/>
  <c r="U47" i="1"/>
  <c r="U39" i="1"/>
  <c r="U48" i="1"/>
  <c r="U40" i="1"/>
  <c r="U44" i="1"/>
  <c r="U46" i="1"/>
  <c r="U49" i="1"/>
  <c r="U41" i="1"/>
  <c r="U42" i="1"/>
  <c r="T6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<sst xmlns="http://schemas.openxmlformats.org/spreadsheetml/2006/main" count="147" uniqueCount="72">
  <si>
    <t>A FOUR-ASSET PORTFOLIO PROBLEM</t>
  </si>
  <si>
    <t>Given:</t>
  </si>
  <si>
    <t>Variance-covariance</t>
  </si>
  <si>
    <t>Mean returns</t>
  </si>
  <si>
    <t>Portfolio 1</t>
  </si>
  <si>
    <t>Portfolio 2</t>
  </si>
  <si>
    <t>Problem 1</t>
  </si>
  <si>
    <t>Transpose the weights of the two portfolio</t>
  </si>
  <si>
    <t>Problem 2</t>
  </si>
  <si>
    <t>Calculate the mean and variance of each portfolio</t>
  </si>
  <si>
    <t>Mean</t>
  </si>
  <si>
    <t>Variance</t>
  </si>
  <si>
    <t>Std Dev</t>
  </si>
  <si>
    <t>Problem 3</t>
  </si>
  <si>
    <t>Calculate the covariance and correlation of the portfolio's returns</t>
  </si>
  <si>
    <r>
      <t xml:space="preserve">(Hint: </t>
    </r>
    <r>
      <rPr>
        <sz val="10"/>
        <rFont val="Symbol"/>
        <family val="1"/>
        <charset val="2"/>
      </rPr>
      <t>r</t>
    </r>
    <r>
      <rPr>
        <vertAlign val="subscript"/>
        <sz val="10"/>
        <rFont val="Arial"/>
        <family val="2"/>
      </rPr>
      <t xml:space="preserve">12 </t>
    </r>
    <r>
      <rPr>
        <sz val="10"/>
        <rFont val="Arial"/>
        <family val="2"/>
      </rPr>
      <t>= Cov(</t>
    </r>
    <r>
      <rPr>
        <i/>
        <sz val="10"/>
        <rFont val="Arial"/>
        <family val="2"/>
      </rPr>
      <t>r</t>
    </r>
    <r>
      <rPr>
        <i/>
        <vertAlign val="subscript"/>
        <sz val="10"/>
        <rFont val="Arial"/>
        <family val="2"/>
      </rPr>
      <t>1</t>
    </r>
    <r>
      <rPr>
        <i/>
        <sz val="10"/>
        <rFont val="Arial"/>
        <family val="2"/>
      </rPr>
      <t>,r</t>
    </r>
    <r>
      <rPr>
        <i/>
        <vertAlign val="subscript"/>
        <sz val="10"/>
        <rFont val="Arial"/>
        <family val="2"/>
      </rPr>
      <t>2</t>
    </r>
    <r>
      <rPr>
        <sz val="10"/>
        <rFont val="Arial"/>
        <family val="2"/>
      </rPr>
      <t>)/(</t>
    </r>
    <r>
      <rPr>
        <sz val="10"/>
        <rFont val="Symbol"/>
        <family val="1"/>
        <charset val="2"/>
      </rPr>
      <t>s</t>
    </r>
    <r>
      <rPr>
        <vertAlign val="subscript"/>
        <sz val="10"/>
        <rFont val="Symbol"/>
        <family val="1"/>
        <charset val="2"/>
      </rPr>
      <t>1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))</t>
    </r>
  </si>
  <si>
    <t>Covariance</t>
  </si>
  <si>
    <t>Correlation</t>
  </si>
  <si>
    <t>Problem 4</t>
  </si>
  <si>
    <t>Calculating returns of combinations of Portfolio 1 and Portfolio 2</t>
  </si>
  <si>
    <r>
      <t>g</t>
    </r>
    <r>
      <rPr>
        <vertAlign val="subscript"/>
        <sz val="10"/>
        <rFont val="Arial"/>
        <family val="2"/>
      </rPr>
      <t>portfolio1</t>
    </r>
  </si>
  <si>
    <r>
      <t>g</t>
    </r>
    <r>
      <rPr>
        <vertAlign val="subscript"/>
        <sz val="10"/>
        <rFont val="Arial"/>
        <family val="2"/>
      </rPr>
      <t>portfolio2</t>
    </r>
  </si>
  <si>
    <t>Mean return</t>
  </si>
  <si>
    <t>Variance return</t>
  </si>
  <si>
    <t>Std dev return</t>
  </si>
  <si>
    <t>Create a data table with varying proportion of portfolio 1</t>
  </si>
  <si>
    <t>Std dev</t>
  </si>
  <si>
    <t>Name:</t>
  </si>
  <si>
    <t>Authcate:</t>
  </si>
  <si>
    <t>A Two-Asset Portfolio</t>
  </si>
  <si>
    <t>Stock Prices:</t>
  </si>
  <si>
    <t>Problem 1:</t>
  </si>
  <si>
    <t>Calculate the weekly continuously compounded returns for each stock</t>
  </si>
  <si>
    <t>Problem 2:</t>
  </si>
  <si>
    <t>Calculate the mean, variance and standard deviation for each stock</t>
  </si>
  <si>
    <t>Weekly Mean</t>
  </si>
  <si>
    <t>Weekly Variance</t>
  </si>
  <si>
    <t>Weekly Std Dev</t>
  </si>
  <si>
    <t>Problem 3:</t>
  </si>
  <si>
    <t>(i)</t>
  </si>
  <si>
    <t>the formula</t>
  </si>
  <si>
    <t>Do calculations on the blue region provided below</t>
  </si>
  <si>
    <t>(a)</t>
  </si>
  <si>
    <t>(b)</t>
  </si>
  <si>
    <t>(a)*(b)</t>
  </si>
  <si>
    <t>Product</t>
  </si>
  <si>
    <t>(ii)</t>
  </si>
  <si>
    <t>Excel Function: Covar(Array 1, Array 2)</t>
  </si>
  <si>
    <t>Problem 4:</t>
  </si>
  <si>
    <t>Problem 5:</t>
  </si>
  <si>
    <t>Calculate the portfolio mean, variance and standard deviation</t>
  </si>
  <si>
    <r>
      <t>r</t>
    </r>
    <r>
      <rPr>
        <b/>
        <i/>
        <vertAlign val="subscript"/>
        <sz val="10"/>
        <color theme="1"/>
        <rFont val="Arial"/>
        <family val="2"/>
      </rPr>
      <t>At</t>
    </r>
    <r>
      <rPr>
        <b/>
        <i/>
        <sz val="10"/>
        <color theme="1"/>
        <rFont val="Arial"/>
        <family val="2"/>
      </rPr>
      <t xml:space="preserve"> - E(r</t>
    </r>
    <r>
      <rPr>
        <b/>
        <i/>
        <vertAlign val="subscript"/>
        <sz val="10"/>
        <color theme="1"/>
        <rFont val="Arial"/>
        <family val="2"/>
      </rPr>
      <t>A</t>
    </r>
    <r>
      <rPr>
        <b/>
        <i/>
        <sz val="10"/>
        <color theme="1"/>
        <rFont val="Arial"/>
        <family val="2"/>
      </rPr>
      <t>)</t>
    </r>
  </si>
  <si>
    <r>
      <t>r</t>
    </r>
    <r>
      <rPr>
        <b/>
        <i/>
        <vertAlign val="subscript"/>
        <sz val="10"/>
        <color theme="1"/>
        <rFont val="Arial"/>
        <family val="2"/>
      </rPr>
      <t>Bt</t>
    </r>
    <r>
      <rPr>
        <b/>
        <i/>
        <sz val="10"/>
        <color theme="1"/>
        <rFont val="Arial"/>
        <family val="2"/>
      </rPr>
      <t xml:space="preserve"> - E(r</t>
    </r>
    <r>
      <rPr>
        <b/>
        <i/>
        <vertAlign val="subscript"/>
        <sz val="10"/>
        <color theme="1"/>
        <rFont val="Arial"/>
        <family val="2"/>
      </rPr>
      <t>B</t>
    </r>
    <r>
      <rPr>
        <b/>
        <i/>
        <sz val="10"/>
        <color theme="1"/>
        <rFont val="Arial"/>
        <family val="2"/>
      </rPr>
      <t>)</t>
    </r>
  </si>
  <si>
    <r>
      <t>Cov(r</t>
    </r>
    <r>
      <rPr>
        <i/>
        <vertAlign val="subscript"/>
        <sz val="10"/>
        <color theme="1"/>
        <rFont val="Arial"/>
        <family val="2"/>
      </rPr>
      <t>A</t>
    </r>
    <r>
      <rPr>
        <i/>
        <sz val="10"/>
        <color theme="1"/>
        <rFont val="Arial"/>
        <family val="2"/>
      </rPr>
      <t>,r</t>
    </r>
    <r>
      <rPr>
        <i/>
        <vertAlign val="subscript"/>
        <sz val="10"/>
        <color theme="1"/>
        <rFont val="Arial"/>
        <family val="2"/>
      </rPr>
      <t>B</t>
    </r>
    <r>
      <rPr>
        <i/>
        <sz val="10"/>
        <color theme="1"/>
        <rFont val="Arial"/>
        <family val="2"/>
      </rPr>
      <t>)</t>
    </r>
  </si>
  <si>
    <r>
      <t>ρ</t>
    </r>
    <r>
      <rPr>
        <vertAlign val="subscript"/>
        <sz val="10"/>
        <color theme="1"/>
        <rFont val="Arial"/>
        <family val="2"/>
      </rPr>
      <t>AB</t>
    </r>
  </si>
  <si>
    <r>
      <t>E(r</t>
    </r>
    <r>
      <rPr>
        <vertAlign val="subscript"/>
        <sz val="10"/>
        <color theme="1"/>
        <rFont val="Arial"/>
        <family val="2"/>
      </rPr>
      <t>p</t>
    </r>
    <r>
      <rPr>
        <sz val="10"/>
        <color theme="1"/>
        <rFont val="Arial"/>
        <family val="2"/>
      </rPr>
      <t>)</t>
    </r>
  </si>
  <si>
    <r>
      <t>σ</t>
    </r>
    <r>
      <rPr>
        <vertAlign val="superscript"/>
        <sz val="10"/>
        <color theme="1"/>
        <rFont val="Arial"/>
        <family val="2"/>
      </rPr>
      <t>2</t>
    </r>
    <r>
      <rPr>
        <vertAlign val="subscript"/>
        <sz val="10"/>
        <color theme="1"/>
        <rFont val="Arial"/>
        <family val="2"/>
      </rPr>
      <t>p</t>
    </r>
  </si>
  <si>
    <r>
      <t>σ</t>
    </r>
    <r>
      <rPr>
        <vertAlign val="subscript"/>
        <sz val="10"/>
        <color theme="1"/>
        <rFont val="Arial"/>
        <family val="2"/>
      </rPr>
      <t>p</t>
    </r>
  </si>
  <si>
    <t>using =AVERAGE(), =VARP(), =STDEVP() respectively.</t>
  </si>
  <si>
    <r>
      <t xml:space="preserve">(For week </t>
    </r>
    <r>
      <rPr>
        <i/>
        <sz val="10"/>
        <color theme="1"/>
        <rFont val="Arial"/>
        <family val="2"/>
      </rPr>
      <t>t</t>
    </r>
    <r>
      <rPr>
        <sz val="10"/>
        <color theme="1"/>
        <rFont val="Arial"/>
        <family val="2"/>
      </rPr>
      <t xml:space="preserve"> and stock A, the weekly return </t>
    </r>
    <r>
      <rPr>
        <i/>
        <sz val="10"/>
        <color theme="1"/>
        <rFont val="Arial"/>
        <family val="2"/>
      </rPr>
      <t>r</t>
    </r>
    <r>
      <rPr>
        <i/>
        <vertAlign val="subscript"/>
        <sz val="10"/>
        <color theme="1"/>
        <rFont val="Arial"/>
        <family val="2"/>
      </rPr>
      <t>At</t>
    </r>
    <r>
      <rPr>
        <sz val="10"/>
        <color theme="1"/>
        <rFont val="Arial"/>
        <family val="2"/>
      </rPr>
      <t xml:space="preserve">, is defined as </t>
    </r>
    <r>
      <rPr>
        <i/>
        <sz val="10"/>
        <color theme="1"/>
        <rFont val="Arial"/>
        <family val="2"/>
      </rPr>
      <t>r</t>
    </r>
    <r>
      <rPr>
        <i/>
        <vertAlign val="subscript"/>
        <sz val="10"/>
        <color theme="1"/>
        <rFont val="Arial"/>
        <family val="2"/>
      </rPr>
      <t>At</t>
    </r>
    <r>
      <rPr>
        <sz val="10"/>
        <color theme="1"/>
        <rFont val="Arial"/>
        <family val="2"/>
      </rPr>
      <t xml:space="preserve"> = </t>
    </r>
    <r>
      <rPr>
        <i/>
        <sz val="10"/>
        <color theme="1"/>
        <rFont val="Arial"/>
        <family val="2"/>
      </rPr>
      <t>ln</t>
    </r>
    <r>
      <rPr>
        <sz val="10"/>
        <color theme="1"/>
        <rFont val="Arial"/>
        <family val="2"/>
      </rPr>
      <t>(</t>
    </r>
    <r>
      <rPr>
        <i/>
        <sz val="10"/>
        <color theme="1"/>
        <rFont val="Arial"/>
        <family val="2"/>
      </rPr>
      <t>P</t>
    </r>
    <r>
      <rPr>
        <i/>
        <vertAlign val="subscript"/>
        <sz val="10"/>
        <color theme="1"/>
        <rFont val="Arial"/>
        <family val="2"/>
      </rPr>
      <t>At</t>
    </r>
    <r>
      <rPr>
        <i/>
        <sz val="10"/>
        <color theme="1"/>
        <rFont val="Arial"/>
        <family val="2"/>
      </rPr>
      <t xml:space="preserve"> / P</t>
    </r>
    <r>
      <rPr>
        <i/>
        <vertAlign val="subscript"/>
        <sz val="10"/>
        <color theme="1"/>
        <rFont val="Arial"/>
        <family val="2"/>
      </rPr>
      <t>At-1</t>
    </r>
    <r>
      <rPr>
        <sz val="10"/>
        <color theme="1"/>
        <rFont val="Arial"/>
        <family val="2"/>
      </rPr>
      <t>)</t>
    </r>
  </si>
  <si>
    <t>Create a graph of the means and standard deviation of convex combinations of the portfolios. Note: This is automatically done for you.</t>
  </si>
  <si>
    <t>File:</t>
  </si>
  <si>
    <t>SS2</t>
  </si>
  <si>
    <t>XASX:GEM</t>
  </si>
  <si>
    <t>XASX:JIN</t>
  </si>
  <si>
    <t>XASX:ACL</t>
  </si>
  <si>
    <t>XASX:MVF</t>
  </si>
  <si>
    <t>XASX:BCB</t>
  </si>
  <si>
    <t>XASX:PLS</t>
  </si>
  <si>
    <t>faMlZOfrWWH0XyDU7SBGlXUNjf6W072GKb13EQJsBYwICzbmmkqYQZ9ONhloe8QHydg4ciyBaqaKqHGnRmVa5aog2zQqJA5JdvK6HjdCErFMVJu564AcksSih058ySkbIwzOw1IEt9deAKZ7U5YuOu70M2T</t>
  </si>
  <si>
    <t>Grant Fullston</t>
  </si>
  <si>
    <t>gful0002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</si>
</sst>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Arial"/>
      <family val="2"/>
    </font>
    <font>
      <i/>
      <sz val="10"/>
      <name val="Arial"/>
      <family val="2"/>
    </font>
    <font>
      <i/>
      <vertAlign val="subscript"/>
      <sz val="10"/>
      <name val="Arial"/>
      <family val="2"/>
    </font>
    <font>
      <vertAlign val="subscript"/>
      <sz val="10"/>
      <name val="Symbol"/>
      <family val="1"/>
      <charset val="2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i/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i/>
      <vertAlign val="sub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>
      <alignment vertical="top"/>
      <protection locked="0"/>
    </xf>
    <xf numFmtId="0" fontId="4" fillId="0" borderId="0"/>
    <xf numFmtId="9" fontId="4" fillId="0" borderId="0" applyFont="0" applyFill="0" applyBorder="0" applyAlignment="0" applyProtection="0"/>
  </cellStyleXfs>
  <cellXfs count="45">
    <xf numFmtId="0" fontId="0" fillId="0" borderId="0" xfId="0"/>
    <xf numFmtId="0" fontId="2" fillId="0" borderId="0" xfId="0" applyFont="1"/>
    <xf numFmtId="0" fontId="3" fillId="0" borderId="1" xfId="0" applyFont="1" applyBorder="1"/>
    <xf numFmtId="0" fontId="0" fillId="0" borderId="2" xfId="0" applyBorder="1"/>
    <xf numFmtId="0" fontId="0" fillId="0" borderId="3" xfId="0" applyBorder="1"/>
    <xf numFmtId="0" fontId="4" fillId="0" borderId="4" xfId="0" applyFont="1" applyBorder="1"/>
    <xf numFmtId="0" fontId="0" fillId="0" borderId="5" xfId="0" applyBorder="1" applyAlignment="1">
      <alignment horizontal="right"/>
    </xf>
    <xf numFmtId="0" fontId="3" fillId="0" borderId="0" xfId="0" applyFont="1"/>
    <xf numFmtId="0" fontId="0" fillId="0" borderId="4" xfId="0" applyBorder="1"/>
    <xf numFmtId="9" fontId="0" fillId="0" borderId="5" xfId="0" applyNumberFormat="1" applyBorder="1"/>
    <xf numFmtId="0" fontId="4" fillId="0" borderId="0" xfId="0" applyFont="1"/>
    <xf numFmtId="0" fontId="0" fillId="0" borderId="0" xfId="0" applyAlignment="1">
      <alignment horizontal="right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4" fontId="0" fillId="0" borderId="0" xfId="0" applyNumberFormat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164" fontId="0" fillId="2" borderId="0" xfId="0" applyNumberFormat="1" applyFill="1"/>
    <xf numFmtId="0" fontId="0" fillId="2" borderId="0" xfId="0" applyFill="1" applyAlignment="1">
      <alignment horizontal="center"/>
    </xf>
    <xf numFmtId="0" fontId="4" fillId="4" borderId="0" xfId="0" applyFont="1" applyFill="1" applyProtection="1">
      <protection locked="0"/>
    </xf>
    <xf numFmtId="0" fontId="10" fillId="4" borderId="0" xfId="1" applyFill="1" applyAlignment="1" applyProtection="1">
      <protection locked="0"/>
    </xf>
    <xf numFmtId="0" fontId="0" fillId="4" borderId="0" xfId="0" applyFill="1"/>
    <xf numFmtId="0" fontId="11" fillId="0" borderId="0" xfId="0" applyFont="1"/>
    <xf numFmtId="0" fontId="1" fillId="0" borderId="1" xfId="0" applyFont="1" applyBorder="1"/>
    <xf numFmtId="0" fontId="1" fillId="0" borderId="0" xfId="0" applyFont="1"/>
    <xf numFmtId="0" fontId="1" fillId="0" borderId="5" xfId="0" applyFont="1" applyBorder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3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6" fillId="0" borderId="0" xfId="0" applyFont="1"/>
    <xf numFmtId="14" fontId="13" fillId="0" borderId="0" xfId="0" applyNumberFormat="1" applyFont="1"/>
    <xf numFmtId="14" fontId="1" fillId="0" borderId="4" xfId="0" applyNumberFormat="1" applyFont="1" applyBorder="1"/>
    <xf numFmtId="14" fontId="1" fillId="0" borderId="6" xfId="0" applyNumberFormat="1" applyFont="1" applyBorder="1"/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164" fontId="0" fillId="3" borderId="5" xfId="0" applyNumberFormat="1" applyFill="1" applyBorder="1" applyProtection="1">
      <protection locked="0"/>
    </xf>
    <xf numFmtId="0" fontId="12" fillId="5" borderId="0" xfId="0" applyFont="1" applyFill="1" applyProtection="1">
      <protection locked="0"/>
    </xf>
    <xf numFmtId="0" fontId="1" fillId="0" borderId="0" xfId="0" applyFont="1" applyAlignment="1">
      <alignment horizontal="center"/>
    </xf>
    <xf numFmtId="0" fontId="1" fillId="0" borderId="5" xfId="0" applyFont="1" applyBorder="1" applyAlignment="1">
      <alignment horizontal="center"/>
    </xf>
    <xf numFmtId="22" fontId="0" fillId="0" borderId="0" xfId="0" applyNumberFormat="1"/>
  </cellXfs>
  <cellStyles count="5">
    <cellStyle name="Hyperlink" xfId="1" builtinId="8"/>
    <cellStyle name="Hyperlink 2" xfId="2" xr:uid="{00000000-0005-0000-0000-000001000000}"/>
    <cellStyle name="Normal" xfId="0" builtinId="0"/>
    <cellStyle name="Normal 2" xfId="3" xr:uid="{00000000-0005-0000-0000-000003000000}"/>
    <cellStyle name="Percent 2" xfId="4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'Task 2'!$O$55</c:f>
              <c:strCache>
                <c:ptCount val="1"/>
                <c:pt idx="0">
                  <c:v>Mean</c:v>
                </c:pt>
              </c:strCache>
            </c:strRef>
          </c:tx>
          <c:spPr>
            <a:ln w="28575">
              <a:noFill/>
            </a:ln>
          </c:spPr>
          <c:xVal>
            <c:numRef>
              <c:f>'Task 2'!$N$56:$N$77</c:f>
              <c:numCache>
                <c:formatCode>0.0000</c:formatCode>
                <c:ptCount val="22"/>
                <c:pt idx="0">
                  <c:v>0.43748142817724278</c:v>
                </c:pt>
                <c:pt idx="1">
                  <c:v>0.50457903246171465</c:v>
                </c:pt>
                <c:pt idx="2">
                  <c:v>0.49196290510565938</c:v>
                </c:pt>
                <c:pt idx="3">
                  <c:v>0.47986456422619922</c:v>
                </c:pt>
                <c:pt idx="4">
                  <c:v>0.46832413988604088</c:v>
                </c:pt>
                <c:pt idx="5">
                  <c:v>0.4573838650411709</c:v>
                </c:pt>
                <c:pt idx="6">
                  <c:v>0.44708779898360013</c:v>
                </c:pt>
                <c:pt idx="7">
                  <c:v>0.43748142817724278</c:v>
                </c:pt>
                <c:pt idx="8">
                  <c:v>0.42861112911355909</c:v>
                </c:pt>
                <c:pt idx="9">
                  <c:v>0.42052348329195605</c:v>
                </c:pt>
                <c:pt idx="10">
                  <c:v>0.41326444318378036</c:v>
                </c:pt>
                <c:pt idx="11">
                  <c:v>0.40687836020117857</c:v>
                </c:pt>
                <c:pt idx="12">
                  <c:v>0.40140690078771696</c:v>
                </c:pt>
                <c:pt idx="13">
                  <c:v>0.39688789349134856</c:v>
                </c:pt>
                <c:pt idx="14">
                  <c:v>0.39335416611496571</c:v>
                </c:pt>
                <c:pt idx="15">
                  <c:v>0.39083244491725611</c:v>
                </c:pt>
                <c:pt idx="16">
                  <c:v>0.38934239430095463</c:v>
                </c:pt>
                <c:pt idx="17">
                  <c:v>0.38889587295315958</c:v>
                </c:pt>
                <c:pt idx="18">
                  <c:v>0.38949646981712172</c:v>
                </c:pt>
                <c:pt idx="19">
                  <c:v>0.39113936135346955</c:v>
                </c:pt>
                <c:pt idx="20">
                  <c:v>0.39381150313316149</c:v>
                </c:pt>
                <c:pt idx="21">
                  <c:v>0.39749213828703583</c:v>
                </c:pt>
              </c:numCache>
            </c:numRef>
          </c:xVal>
          <c:yVal>
            <c:numRef>
              <c:f>'Task 2'!$O$56:$O$77</c:f>
              <c:numCache>
                <c:formatCode>0.0000</c:formatCode>
                <c:ptCount val="22"/>
                <c:pt idx="0">
                  <c:v>0.11130000000000001</c:v>
                </c:pt>
                <c:pt idx="1">
                  <c:v>0.12000000000000001</c:v>
                </c:pt>
                <c:pt idx="2">
                  <c:v>0.11855</c:v>
                </c:pt>
                <c:pt idx="3">
                  <c:v>0.11710000000000001</c:v>
                </c:pt>
                <c:pt idx="4">
                  <c:v>0.11565</c:v>
                </c:pt>
                <c:pt idx="5">
                  <c:v>0.11420000000000002</c:v>
                </c:pt>
                <c:pt idx="6">
                  <c:v>0.11275000000000002</c:v>
                </c:pt>
                <c:pt idx="7">
                  <c:v>0.11130000000000001</c:v>
                </c:pt>
                <c:pt idx="8">
                  <c:v>0.10985000000000002</c:v>
                </c:pt>
                <c:pt idx="9">
                  <c:v>0.10840000000000002</c:v>
                </c:pt>
                <c:pt idx="10">
                  <c:v>0.10695000000000002</c:v>
                </c:pt>
                <c:pt idx="11">
                  <c:v>0.10550000000000001</c:v>
                </c:pt>
                <c:pt idx="12">
                  <c:v>0.10405</c:v>
                </c:pt>
                <c:pt idx="13">
                  <c:v>0.10260000000000001</c:v>
                </c:pt>
                <c:pt idx="14">
                  <c:v>0.10115000000000002</c:v>
                </c:pt>
                <c:pt idx="15">
                  <c:v>9.9700000000000011E-2</c:v>
                </c:pt>
                <c:pt idx="16">
                  <c:v>9.8250000000000004E-2</c:v>
                </c:pt>
                <c:pt idx="17">
                  <c:v>9.6800000000000011E-2</c:v>
                </c:pt>
                <c:pt idx="18">
                  <c:v>9.5350000000000004E-2</c:v>
                </c:pt>
                <c:pt idx="19">
                  <c:v>9.3900000000000011E-2</c:v>
                </c:pt>
                <c:pt idx="20">
                  <c:v>9.2450000000000018E-2</c:v>
                </c:pt>
                <c:pt idx="21">
                  <c:v>9.1000000000000011E-2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58-4682-88C3-FED96D26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778496"/>
        <c:axId val="107566208"/>
      </c:scatterChart>
      <c:valAx>
        <c:axId val="162778496"/>
        <c:scaling>
          <c:orientation val="minMax"/>
        </c:scaling>
        <c:delete val="0"/>
        <c:axPos val="b"/>
        <c:numFmt formatCode="0.0000" sourceLinked="1"/>
        <c:majorTickMark val="out"/>
        <c:minorTickMark val="none"/>
        <c:tickLblPos val="nextTo"/>
        <c:crossAx val="107566208"/>
        <c:crosses val="autoZero"/>
        <c:crossBetween val="midCat"/>
      </c:valAx>
      <c:valAx>
        <c:axId val="107566208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627784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60</xdr:row>
      <xdr:rowOff>0</xdr:rowOff>
    </xdr:from>
    <xdr:to>
      <xdr:col>24</xdr:col>
      <xdr:colOff>842295</xdr:colOff>
      <xdr:row>62</xdr:row>
      <xdr:rowOff>114300</xdr:rowOff>
    </xdr:to>
    <xdr:pic>
      <xdr:nvPicPr>
        <xdr:cNvPr id="1025" name="Picture 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71700" y="9086850"/>
          <a:ext cx="3371850" cy="4381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57</xdr:row>
      <xdr:rowOff>0</xdr:rowOff>
    </xdr:from>
    <xdr:to>
      <xdr:col>22</xdr:col>
      <xdr:colOff>142875</xdr:colOff>
      <xdr:row>59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71700" y="8315325"/>
          <a:ext cx="3371850" cy="4381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54</xdr:row>
      <xdr:rowOff>0</xdr:rowOff>
    </xdr:from>
    <xdr:to>
      <xdr:col>19</xdr:col>
      <xdr:colOff>142875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71700" y="8315325"/>
          <a:ext cx="3371850" cy="4381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81</xdr:row>
      <xdr:rowOff>19050</xdr:rowOff>
    </xdr:from>
    <xdr:to>
      <xdr:col>21</xdr:col>
      <xdr:colOff>295275</xdr:colOff>
      <xdr:row>108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imdin/Google%20Drive/People/Paul%20Lajbcygier/BFC3540%20Master%20Slave/Input_UG/W1SS_Slav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"/>
      <sheetName val="Set 1 - Task 1"/>
      <sheetName val="Set 2 - Task 1"/>
      <sheetName val="Set 3 - Task 1"/>
      <sheetName val="Set 1 - Task 2"/>
      <sheetName val="Set 2 - Task 2"/>
      <sheetName val="Set 3 - Task 2"/>
      <sheetName val="Set 1 - Task 3"/>
      <sheetName val="Set 2 - Task 3"/>
      <sheetName val="Set 3 - Task 3"/>
      <sheetName val="Set 1 - Task 4"/>
      <sheetName val="Set 2 - Task 4"/>
      <sheetName val="Set 3 - Task 4"/>
      <sheetName val="Task 5"/>
      <sheetName val="CustomVariables"/>
    </sheetNames>
    <sheetDataSet>
      <sheetData sheetId="0"/>
      <sheetData sheetId="1">
        <row r="5">
          <cell r="C5" t="str">
            <v>PME</v>
          </cell>
        </row>
        <row r="6">
          <cell r="C6">
            <v>4.8790106097421147E-2</v>
          </cell>
          <cell r="D6">
            <v>7.7711447248867416E-3</v>
          </cell>
        </row>
        <row r="7">
          <cell r="C7">
            <v>-0.15144426015750448</v>
          </cell>
          <cell r="D7">
            <v>1.674847244943169E-2</v>
          </cell>
        </row>
        <row r="8">
          <cell r="C8">
            <v>6.8542319553220141E-2</v>
          </cell>
          <cell r="D8">
            <v>-3.0209532951997149E-2</v>
          </cell>
        </row>
        <row r="9">
          <cell r="C9">
            <v>8.8114811094751569E-2</v>
          </cell>
          <cell r="D9">
            <v>1.1347639497537415E-2</v>
          </cell>
        </row>
        <row r="10">
          <cell r="C10">
            <v>-1.9248130534839897E-2</v>
          </cell>
          <cell r="D10">
            <v>-4.1762728361975164E-2</v>
          </cell>
        </row>
        <row r="11">
          <cell r="C11">
            <v>0.13117295261812101</v>
          </cell>
          <cell r="D11">
            <v>6.8894827465107111E-2</v>
          </cell>
        </row>
        <row r="12">
          <cell r="C12">
            <v>1.4868204813948033E-2</v>
          </cell>
          <cell r="D12">
            <v>0.10974348391255122</v>
          </cell>
        </row>
        <row r="13">
          <cell r="C13">
            <v>-6.0847292916236737E-2</v>
          </cell>
          <cell r="D13">
            <v>-1.799614189274356E-2</v>
          </cell>
        </row>
        <row r="14">
          <cell r="C14">
            <v>7.5999148062151078E-2</v>
          </cell>
          <cell r="D14">
            <v>2.9613575774731581E-2</v>
          </cell>
        </row>
        <row r="15">
          <cell r="C15">
            <v>6.3127701909241413E-2</v>
          </cell>
          <cell r="D15">
            <v>-4.2645206267921103E-3</v>
          </cell>
        </row>
      </sheetData>
      <sheetData sheetId="2">
        <row r="5">
          <cell r="C5" t="str">
            <v>APX</v>
          </cell>
        </row>
        <row r="6">
          <cell r="C6">
            <v>1.2022471987461279E-2</v>
          </cell>
          <cell r="D6">
            <v>4.8544271265997018E-3</v>
          </cell>
        </row>
        <row r="7">
          <cell r="C7">
            <v>-5.032779257731862E-2</v>
          </cell>
          <cell r="D7">
            <v>1.4423374693800744E-2</v>
          </cell>
        </row>
        <row r="8">
          <cell r="C8">
            <v>1.1602093034815922E-2</v>
          </cell>
          <cell r="D8">
            <v>0.1524444381983136</v>
          </cell>
        </row>
        <row r="9">
          <cell r="C9">
            <v>8.4197558090808991E-2</v>
          </cell>
          <cell r="D9">
            <v>3.6221223908625921E-2</v>
          </cell>
        </row>
        <row r="10">
          <cell r="C10">
            <v>-3.2327721886488733E-2</v>
          </cell>
          <cell r="D10">
            <v>-0.10360536375190714</v>
          </cell>
        </row>
        <row r="11">
          <cell r="C11">
            <v>5.0914115515909658E-2</v>
          </cell>
          <cell r="D11">
            <v>4.3326571471279197E-2</v>
          </cell>
        </row>
        <row r="12">
          <cell r="C12">
            <v>2.021071369059237E-2</v>
          </cell>
          <cell r="D12">
            <v>0.14910016404118973</v>
          </cell>
        </row>
        <row r="13">
          <cell r="C13">
            <v>-6.608275980710647E-2</v>
          </cell>
          <cell r="D13">
            <v>-5.3484748786406078E-2</v>
          </cell>
        </row>
        <row r="14">
          <cell r="C14">
            <v>5.4243671481893324E-2</v>
          </cell>
          <cell r="D14">
            <v>-2.3548627696420868E-2</v>
          </cell>
        </row>
        <row r="15">
          <cell r="C15">
            <v>-3.9777696844799908E-3</v>
          </cell>
          <cell r="D15">
            <v>-6.5372201886148673E-2</v>
          </cell>
        </row>
      </sheetData>
      <sheetData sheetId="3">
        <row r="5">
          <cell r="C5" t="str">
            <v>QBE</v>
          </cell>
        </row>
        <row r="6">
          <cell r="C6">
            <v>2.3952107259548501E-3</v>
          </cell>
          <cell r="D6">
            <v>6.4308903302903314E-3</v>
          </cell>
        </row>
        <row r="7">
          <cell r="C7">
            <v>-1.8511595008412346E-2</v>
          </cell>
          <cell r="D7">
            <v>-1.8649407893977617E-2</v>
          </cell>
        </row>
        <row r="8">
          <cell r="C8">
            <v>-4.8860032056262086E-3</v>
          </cell>
          <cell r="D8">
            <v>-3.0781092761417118E-3</v>
          </cell>
        </row>
        <row r="9">
          <cell r="C9">
            <v>3.6076056473809591E-2</v>
          </cell>
          <cell r="D9">
            <v>2.6938249368167761E-3</v>
          </cell>
        </row>
        <row r="10">
          <cell r="C10">
            <v>3.929278139889557E-3</v>
          </cell>
          <cell r="D10">
            <v>2.8789904519965884E-2</v>
          </cell>
        </row>
        <row r="11">
          <cell r="C11">
            <v>1.9418085857101516E-2</v>
          </cell>
          <cell r="D11">
            <v>2.2887635789699295E-2</v>
          </cell>
        </row>
        <row r="12">
          <cell r="C12">
            <v>6.1349885675159293E-3</v>
          </cell>
          <cell r="D12">
            <v>3.648969206700321E-4</v>
          </cell>
        </row>
        <row r="13">
          <cell r="C13">
            <v>-3.3427130855523408E-2</v>
          </cell>
          <cell r="D13">
            <v>3.2780943578311068E-3</v>
          </cell>
        </row>
        <row r="14">
          <cell r="C14">
            <v>7.0894349704880054E-3</v>
          </cell>
          <cell r="D14">
            <v>-6.1875403718087411E-2</v>
          </cell>
        </row>
        <row r="15">
          <cell r="C15">
            <v>-7.880261425305863E-3</v>
          </cell>
          <cell r="D15">
            <v>7.4163234511780682E-2</v>
          </cell>
        </row>
      </sheetData>
      <sheetData sheetId="4"/>
      <sheetData sheetId="5"/>
      <sheetData sheetId="6"/>
      <sheetData sheetId="7">
        <row r="14">
          <cell r="C14">
            <v>0.5</v>
          </cell>
        </row>
      </sheetData>
      <sheetData sheetId="8">
        <row r="14">
          <cell r="C14">
            <v>0.5</v>
          </cell>
        </row>
      </sheetData>
      <sheetData sheetId="9">
        <row r="14">
          <cell r="C14">
            <v>0.5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"/>
  <sheetViews>
    <sheetView topLeftCell="A16" zoomScale="49" zoomScaleNormal="50" workbookViewId="0">
      <selection activeCell="B4" sqref="B4"/>
    </sheetView>
  </sheetViews>
  <sheetFormatPr baseColWidth="10" defaultColWidth="8.83203125" defaultRowHeight="15"/>
  <cols>
    <col min="1" max="1" width="9.5" bestFit="1" customWidth="1"/>
    <col min="2" max="2" width="14.5" bestFit="1" customWidth="1"/>
  </cols>
  <sheetData>
    <row r="1" spans="1:5">
      <c r="A1" s="24" t="s">
        <v>27</v>
      </c>
      <c r="B1" s="22" t="s">
        <v>70</v>
      </c>
      <c r="C1" s="24"/>
      <c r="D1" s="24"/>
      <c r="E1" s="24"/>
    </row>
    <row r="2" spans="1:5">
      <c r="A2" s="24" t="s">
        <v>28</v>
      </c>
      <c r="B2" s="23" t="s">
        <v>71</v>
      </c>
      <c r="C2" s="24"/>
      <c r="D2" s="24"/>
      <c r="E2" s="24"/>
    </row>
    <row r="3" spans="1:5">
      <c r="A3" t="s">
        <v>61</v>
      </c>
      <c r="B3" t="s">
        <v>62</v>
      </c>
    </row>
  </sheetData>
  <sheetProtection algorithmName="SHA-512" hashValue="wIrq5jvJe+efAnVSUU8P/UdaVrOy0XcbT6c5CWXTP1xPPOWflvhP9pGIRa/mJGNxk30vevoCd4wPcBJSowOV4g==" saltValue="cPuy+5T4RcvRwhdJz6xzag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S14:Y100"/>
  <sheetViews>
    <sheetView topLeftCell="M63" zoomScale="138" zoomScaleNormal="50" workbookViewId="0">
      <selection activeCell="X96" sqref="X96"/>
    </sheetView>
  </sheetViews>
  <sheetFormatPr baseColWidth="10" defaultColWidth="9.1640625" defaultRowHeight="13"/>
  <cols>
    <col min="1" max="18" width="9.1640625" style="29"/>
    <col min="19" max="19" width="11.1640625" style="29" customWidth="1"/>
    <col min="20" max="20" width="21.5" style="29" customWidth="1"/>
    <col min="21" max="21" width="10.6640625" style="29" bestFit="1" customWidth="1"/>
    <col min="22" max="23" width="9.6640625" style="29" bestFit="1" customWidth="1"/>
    <col min="24" max="24" width="9.1640625" style="29"/>
    <col min="25" max="25" width="12.83203125" style="29" bestFit="1" customWidth="1"/>
    <col min="26" max="16384" width="9.1640625" style="29"/>
  </cols>
  <sheetData>
    <row r="14" spans="19:23" customFormat="1" ht="15"/>
    <row r="15" spans="19:23" customFormat="1" ht="16" thickBot="1"/>
    <row r="16" spans="19:23" customFormat="1" ht="24">
      <c r="S16" s="25" t="s">
        <v>29</v>
      </c>
      <c r="U16" s="26" t="s">
        <v>1</v>
      </c>
      <c r="V16" s="3"/>
      <c r="W16" s="4"/>
    </row>
    <row r="17" spans="21:23" customFormat="1" ht="15">
      <c r="U17" s="8"/>
      <c r="V17" s="42" t="s">
        <v>30</v>
      </c>
      <c r="W17" s="43"/>
    </row>
    <row r="18" spans="21:23" customFormat="1" ht="15">
      <c r="U18" s="8"/>
      <c r="V18" s="27" t="s">
        <v>63</v>
      </c>
      <c r="W18" s="28" t="s">
        <v>64</v>
      </c>
    </row>
    <row r="19" spans="21:23" customFormat="1" ht="15">
      <c r="U19" s="36">
        <v>44998</v>
      </c>
      <c r="V19">
        <v>1.175</v>
      </c>
      <c r="W19" s="12">
        <v>12.62</v>
      </c>
    </row>
    <row r="20" spans="21:23" customFormat="1" ht="15">
      <c r="U20" s="36">
        <v>45005</v>
      </c>
      <c r="V20">
        <v>1.155</v>
      </c>
      <c r="W20" s="12">
        <v>12.82</v>
      </c>
    </row>
    <row r="21" spans="21:23" customFormat="1" ht="15">
      <c r="U21" s="36">
        <v>45012</v>
      </c>
      <c r="V21">
        <v>1.21</v>
      </c>
      <c r="W21" s="12">
        <v>12.6</v>
      </c>
    </row>
    <row r="22" spans="21:23" customFormat="1" ht="15">
      <c r="U22" s="36">
        <v>45019</v>
      </c>
      <c r="V22">
        <v>1.18</v>
      </c>
      <c r="W22" s="12">
        <v>13.43</v>
      </c>
    </row>
    <row r="23" spans="21:23" customFormat="1" ht="15">
      <c r="U23" s="36">
        <v>45026</v>
      </c>
      <c r="V23">
        <v>1.22</v>
      </c>
      <c r="W23" s="12">
        <v>13.56</v>
      </c>
    </row>
    <row r="24" spans="21:23" customFormat="1" ht="15">
      <c r="U24" s="36">
        <v>45033</v>
      </c>
      <c r="V24">
        <v>1.25</v>
      </c>
      <c r="W24" s="12">
        <v>13.28</v>
      </c>
    </row>
    <row r="25" spans="21:23" customFormat="1" ht="15">
      <c r="U25" s="36">
        <v>45040</v>
      </c>
      <c r="V25">
        <v>1.22</v>
      </c>
      <c r="W25" s="12">
        <v>13.07</v>
      </c>
    </row>
    <row r="26" spans="21:23" customFormat="1" ht="15">
      <c r="U26" s="36">
        <v>45047</v>
      </c>
      <c r="V26">
        <v>1.18</v>
      </c>
      <c r="W26" s="12">
        <v>14.11</v>
      </c>
    </row>
    <row r="27" spans="21:23" customFormat="1" ht="15">
      <c r="U27" s="36">
        <v>45054</v>
      </c>
      <c r="V27">
        <v>1.1499999999999999</v>
      </c>
      <c r="W27" s="12">
        <v>14.24</v>
      </c>
    </row>
    <row r="28" spans="21:23" customFormat="1" ht="15">
      <c r="U28" s="36">
        <v>45061</v>
      </c>
      <c r="V28">
        <v>1.115</v>
      </c>
      <c r="W28" s="12">
        <v>14.67</v>
      </c>
    </row>
    <row r="29" spans="21:23" customFormat="1" ht="15">
      <c r="U29" s="36">
        <v>45068</v>
      </c>
      <c r="V29">
        <v>1.07</v>
      </c>
      <c r="W29" s="12">
        <v>14.2</v>
      </c>
    </row>
    <row r="30" spans="21:23" customFormat="1" ht="15">
      <c r="U30" s="36">
        <v>45075</v>
      </c>
      <c r="V30">
        <v>1.0449999999999999</v>
      </c>
      <c r="W30" s="12">
        <v>14.99</v>
      </c>
    </row>
    <row r="31" spans="21:23" customFormat="1" ht="16" thickBot="1">
      <c r="U31" s="37">
        <v>45082</v>
      </c>
      <c r="V31" s="14">
        <v>1.0149999999999999</v>
      </c>
      <c r="W31" s="15">
        <v>14.7</v>
      </c>
    </row>
    <row r="32" spans="21:23" customFormat="1" ht="15"/>
    <row r="33" spans="19:23">
      <c r="S33" s="30" t="s">
        <v>31</v>
      </c>
      <c r="T33" s="30" t="s">
        <v>32</v>
      </c>
    </row>
    <row r="34" spans="19:23" ht="15">
      <c r="T34" s="29" t="s">
        <v>59</v>
      </c>
    </row>
    <row r="37" spans="19:23">
      <c r="V37" s="31" t="str">
        <f>"r"&amp;Stock1</f>
        <v>rXASX:GEM</v>
      </c>
      <c r="W37" s="31" t="str">
        <f>"r"&amp;Stock2</f>
        <v>rXASX:JIN</v>
      </c>
    </row>
    <row r="38" spans="19:23">
      <c r="U38" s="35">
        <f t="array" ref="U38:U49">Stock_Dates</f>
        <v>45005</v>
      </c>
      <c r="V38" s="41">
        <f>LN(V20/V19)</f>
        <v>-1.7167803622365446E-2</v>
      </c>
      <c r="W38" s="41">
        <f>LN(W20/W19)</f>
        <v>1.5723594379456876E-2</v>
      </c>
    </row>
    <row r="39" spans="19:23">
      <c r="U39" s="35">
        <v>45012</v>
      </c>
      <c r="V39" s="41">
        <f t="shared" ref="V39:W49" si="0">LN(V21/V20)</f>
        <v>4.6520015634892907E-2</v>
      </c>
      <c r="W39" s="41">
        <f t="shared" si="0"/>
        <v>-1.7309637535091731E-2</v>
      </c>
    </row>
    <row r="40" spans="19:23">
      <c r="U40" s="35">
        <v>45019</v>
      </c>
      <c r="V40" s="41">
        <f t="shared" si="0"/>
        <v>-2.5105921131076358E-2</v>
      </c>
      <c r="W40" s="41">
        <f t="shared" si="0"/>
        <v>6.3794196577713888E-2</v>
      </c>
    </row>
    <row r="41" spans="19:23">
      <c r="U41" s="35">
        <v>45026</v>
      </c>
      <c r="V41" s="41">
        <f t="shared" si="0"/>
        <v>3.3336420267591926E-2</v>
      </c>
      <c r="W41" s="41">
        <f t="shared" si="0"/>
        <v>9.6332719771033033E-3</v>
      </c>
    </row>
    <row r="42" spans="19:23">
      <c r="U42" s="35">
        <v>45033</v>
      </c>
      <c r="V42" s="41">
        <f t="shared" si="0"/>
        <v>2.4292692569044483E-2</v>
      </c>
      <c r="W42" s="41">
        <f>LN(W24/W23)</f>
        <v>-2.0865138463961787E-2</v>
      </c>
    </row>
    <row r="43" spans="19:23">
      <c r="U43" s="35">
        <v>45040</v>
      </c>
      <c r="V43" s="41">
        <f t="shared" si="0"/>
        <v>-2.4292692569044587E-2</v>
      </c>
      <c r="W43" s="41">
        <f t="shared" si="0"/>
        <v>-1.5939616412157187E-2</v>
      </c>
    </row>
    <row r="44" spans="19:23">
      <c r="U44" s="35">
        <v>45047</v>
      </c>
      <c r="V44" s="41">
        <f t="shared" si="0"/>
        <v>-3.3336420267591836E-2</v>
      </c>
      <c r="W44" s="41">
        <f t="shared" si="0"/>
        <v>7.6564238228592013E-2</v>
      </c>
    </row>
    <row r="45" spans="19:23">
      <c r="U45" s="35">
        <v>45054</v>
      </c>
      <c r="V45" s="41">
        <f t="shared" si="0"/>
        <v>-2.575249610241474E-2</v>
      </c>
      <c r="W45" s="41">
        <f t="shared" si="0"/>
        <v>9.1711401191070831E-3</v>
      </c>
    </row>
    <row r="46" spans="19:23">
      <c r="U46" s="35">
        <v>45061</v>
      </c>
      <c r="V46" s="41">
        <f t="shared" si="0"/>
        <v>-3.0907537463076548E-2</v>
      </c>
      <c r="W46" s="41">
        <f t="shared" si="0"/>
        <v>2.9749686171060698E-2</v>
      </c>
    </row>
    <row r="47" spans="19:23">
      <c r="U47" s="35">
        <v>45068</v>
      </c>
      <c r="V47" s="41">
        <f t="shared" si="0"/>
        <v>-4.1195756438267166E-2</v>
      </c>
      <c r="W47" s="41">
        <f t="shared" si="0"/>
        <v>-3.2562627547675388E-2</v>
      </c>
    </row>
    <row r="48" spans="19:23">
      <c r="U48" s="35">
        <v>45075</v>
      </c>
      <c r="V48" s="41">
        <f t="shared" si="0"/>
        <v>-2.3641763057040653E-2</v>
      </c>
      <c r="W48" s="41">
        <f t="shared" si="0"/>
        <v>5.4141347507291326E-2</v>
      </c>
    </row>
    <row r="49" spans="19:23">
      <c r="U49" s="35">
        <v>45082</v>
      </c>
      <c r="V49" s="41">
        <f t="shared" si="0"/>
        <v>-2.9128272923023713E-2</v>
      </c>
      <c r="W49" s="41">
        <f t="shared" si="0"/>
        <v>-1.9535818329815782E-2</v>
      </c>
    </row>
    <row r="51" spans="19:23">
      <c r="S51" s="30" t="s">
        <v>33</v>
      </c>
      <c r="T51" s="30" t="s">
        <v>34</v>
      </c>
    </row>
    <row r="52" spans="19:23">
      <c r="T52" s="30" t="s">
        <v>58</v>
      </c>
    </row>
    <row r="55" spans="19:23">
      <c r="U55" s="30" t="str">
        <f>Stock1</f>
        <v>XASX:GEM</v>
      </c>
      <c r="V55" s="30" t="str">
        <f>Stock2</f>
        <v>XASX:JIN</v>
      </c>
    </row>
    <row r="56" spans="19:23">
      <c r="T56" s="30" t="s">
        <v>35</v>
      </c>
      <c r="U56" s="41">
        <f>AVERAGE(V38:V49)</f>
        <v>-1.2198294591864313E-2</v>
      </c>
      <c r="V56" s="41">
        <f>AVERAGE(W38:W49)</f>
        <v>1.2713719722635275E-2</v>
      </c>
    </row>
    <row r="57" spans="19:23">
      <c r="T57" s="30" t="s">
        <v>36</v>
      </c>
      <c r="U57" s="41">
        <f>_xlfn.VAR.P(V38:V49)</f>
        <v>7.8578517477764895E-4</v>
      </c>
      <c r="V57" s="41">
        <f>_xlfn.VAR.P(W38:W49)</f>
        <v>1.2219675330383383E-3</v>
      </c>
    </row>
    <row r="58" spans="19:23">
      <c r="T58" s="30" t="s">
        <v>37</v>
      </c>
      <c r="U58" s="41">
        <f>_xlfn.STDEV.P(V38:V49)</f>
        <v>2.8031859994970883E-2</v>
      </c>
      <c r="V58" s="41">
        <f>_xlfn.STDEV.P(W38:W49)</f>
        <v>3.4956652200094022E-2</v>
      </c>
    </row>
    <row r="60" spans="19:23">
      <c r="S60" s="30" t="s">
        <v>38</v>
      </c>
      <c r="T60" s="30" t="str">
        <f>"Calculate the covariance of the returns of "&amp;U55&amp;" and "&amp;V55&amp;" using:"</f>
        <v>Calculate the covariance of the returns of XASX:GEM and XASX:JIN using:</v>
      </c>
    </row>
    <row r="61" spans="19:23">
      <c r="S61" s="32" t="s">
        <v>39</v>
      </c>
      <c r="T61" s="29" t="s">
        <v>40</v>
      </c>
    </row>
    <row r="65" spans="20:25">
      <c r="T65" s="29" t="s">
        <v>41</v>
      </c>
    </row>
    <row r="66" spans="20:25">
      <c r="V66" s="33" t="s">
        <v>42</v>
      </c>
      <c r="W66" s="33" t="s">
        <v>43</v>
      </c>
      <c r="Y66" s="33" t="s">
        <v>44</v>
      </c>
    </row>
    <row r="67" spans="20:25" ht="15">
      <c r="V67" s="34" t="s">
        <v>51</v>
      </c>
      <c r="W67" s="34" t="s">
        <v>52</v>
      </c>
      <c r="Y67" s="30" t="s">
        <v>45</v>
      </c>
    </row>
    <row r="68" spans="20:25">
      <c r="U68" s="35">
        <f t="array" ref="U68:U79">Stock_Dates</f>
        <v>45005</v>
      </c>
      <c r="V68" s="41">
        <f>V38-$U$56</f>
        <v>-4.9695090305011333E-3</v>
      </c>
      <c r="W68" s="41">
        <f>W38-$V$56</f>
        <v>3.0098746568216015E-3</v>
      </c>
      <c r="Y68" s="41">
        <f>V68*W68</f>
        <v>-1.4957599287751449E-5</v>
      </c>
    </row>
    <row r="69" spans="20:25">
      <c r="U69" s="35">
        <v>45012</v>
      </c>
      <c r="V69" s="41">
        <f t="shared" ref="V69:V79" si="1">V39-$U$56</f>
        <v>5.871831022675722E-2</v>
      </c>
      <c r="W69" s="41">
        <f t="shared" ref="W69:W79" si="2">W39-$V$56</f>
        <v>-3.0023357257727007E-2</v>
      </c>
      <c r="Y69" s="41">
        <f t="shared" ref="Y69:Y79" si="3">V69*W69</f>
        <v>-1.7629208055079772E-3</v>
      </c>
    </row>
    <row r="70" spans="20:25">
      <c r="U70" s="35">
        <v>45019</v>
      </c>
      <c r="V70" s="41">
        <f t="shared" si="1"/>
        <v>-1.2907626539212045E-2</v>
      </c>
      <c r="W70" s="41">
        <f t="shared" si="2"/>
        <v>5.1080476855078612E-2</v>
      </c>
      <c r="Y70" s="41">
        <f t="shared" si="3"/>
        <v>-6.5932771869021934E-4</v>
      </c>
    </row>
    <row r="71" spans="20:25">
      <c r="U71" s="35">
        <v>45026</v>
      </c>
      <c r="V71" s="41">
        <f t="shared" si="1"/>
        <v>4.5534714859456239E-2</v>
      </c>
      <c r="W71" s="41">
        <f t="shared" si="2"/>
        <v>-3.0804477455319713E-3</v>
      </c>
      <c r="Y71" s="41">
        <f t="shared" si="3"/>
        <v>-1.4026730973225313E-4</v>
      </c>
    </row>
    <row r="72" spans="20:25">
      <c r="U72" s="35">
        <v>45033</v>
      </c>
      <c r="V72" s="41">
        <f t="shared" si="1"/>
        <v>3.6490987160908796E-2</v>
      </c>
      <c r="W72" s="41">
        <f t="shared" si="2"/>
        <v>-3.357885818659706E-2</v>
      </c>
      <c r="Y72" s="41">
        <f t="shared" si="3"/>
        <v>-1.2253256829650905E-3</v>
      </c>
    </row>
    <row r="73" spans="20:25">
      <c r="U73" s="35">
        <v>45040</v>
      </c>
      <c r="V73" s="41">
        <f t="shared" si="1"/>
        <v>-1.2094397977180274E-2</v>
      </c>
      <c r="W73" s="41">
        <f t="shared" si="2"/>
        <v>-2.8653336134792463E-2</v>
      </c>
      <c r="Y73" s="41">
        <f t="shared" si="3"/>
        <v>3.465448505881004E-4</v>
      </c>
    </row>
    <row r="74" spans="20:25">
      <c r="U74" s="35">
        <v>45047</v>
      </c>
      <c r="V74" s="41">
        <f t="shared" si="1"/>
        <v>-2.1138125675727523E-2</v>
      </c>
      <c r="W74" s="41">
        <f t="shared" si="2"/>
        <v>6.3850518505956744E-2</v>
      </c>
      <c r="Y74" s="41">
        <f t="shared" si="3"/>
        <v>-1.3496802846392796E-3</v>
      </c>
    </row>
    <row r="75" spans="20:25">
      <c r="U75" s="35">
        <v>45054</v>
      </c>
      <c r="V75" s="41">
        <f t="shared" si="1"/>
        <v>-1.3554201510550427E-2</v>
      </c>
      <c r="W75" s="41">
        <f t="shared" si="2"/>
        <v>-3.5425796035281915E-3</v>
      </c>
      <c r="Y75" s="41">
        <f t="shared" si="3"/>
        <v>4.8016837813386947E-5</v>
      </c>
    </row>
    <row r="76" spans="20:25">
      <c r="U76" s="35">
        <v>45061</v>
      </c>
      <c r="V76" s="41">
        <f t="shared" si="1"/>
        <v>-1.8709242871212235E-2</v>
      </c>
      <c r="W76" s="41">
        <f t="shared" si="2"/>
        <v>1.7035966448425421E-2</v>
      </c>
      <c r="Y76" s="41">
        <f t="shared" si="3"/>
        <v>-3.1873003382941413E-4</v>
      </c>
    </row>
    <row r="77" spans="20:25">
      <c r="U77" s="35">
        <v>45068</v>
      </c>
      <c r="V77" s="41">
        <f t="shared" si="1"/>
        <v>-2.8997461846402853E-2</v>
      </c>
      <c r="W77" s="41">
        <f t="shared" si="2"/>
        <v>-4.5276347270310664E-2</v>
      </c>
      <c r="Y77" s="41">
        <f t="shared" si="3"/>
        <v>1.3128991525153194E-3</v>
      </c>
    </row>
    <row r="78" spans="20:25">
      <c r="U78" s="35">
        <v>45075</v>
      </c>
      <c r="V78" s="41">
        <f t="shared" si="1"/>
        <v>-1.144346846517634E-2</v>
      </c>
      <c r="W78" s="41">
        <f t="shared" si="2"/>
        <v>4.142762778465605E-2</v>
      </c>
      <c r="Y78" s="41">
        <f t="shared" si="3"/>
        <v>-4.740757521407747E-4</v>
      </c>
    </row>
    <row r="79" spans="20:25">
      <c r="U79" s="35">
        <v>45082</v>
      </c>
      <c r="V79" s="41">
        <f t="shared" si="1"/>
        <v>-1.69299783311594E-2</v>
      </c>
      <c r="W79" s="41">
        <f t="shared" si="2"/>
        <v>-3.2249538052451059E-2</v>
      </c>
      <c r="Y79" s="41">
        <f t="shared" si="3"/>
        <v>5.4598398041789693E-4</v>
      </c>
    </row>
    <row r="81" spans="19:21" ht="15">
      <c r="T81" s="31" t="s">
        <v>53</v>
      </c>
      <c r="U81" s="41">
        <f>AVERAGE(Y68:Y79)</f>
        <v>-3.0765336378817142E-4</v>
      </c>
    </row>
    <row r="83" spans="19:21">
      <c r="S83" s="32" t="s">
        <v>46</v>
      </c>
      <c r="T83" s="29" t="s">
        <v>47</v>
      </c>
    </row>
    <row r="85" spans="19:21" ht="15">
      <c r="T85" s="31" t="s">
        <v>53</v>
      </c>
      <c r="U85" s="41">
        <f>_xlfn.COVARIANCE.P(V38:V49,W38:W49)</f>
        <v>-3.0765336378817142E-4</v>
      </c>
    </row>
    <row r="87" spans="19:21">
      <c r="S87" s="30" t="s">
        <v>48</v>
      </c>
      <c r="T87" s="30" t="str">
        <f>"Calculate the correlation coefficient of "&amp;Stock1&amp;" and "&amp;Stock2&amp;" using the Correl(Array 1, Array 2) function"</f>
        <v>Calculate the correlation coefficient of XASX:GEM and XASX:JIN using the Correl(Array 1, Array 2) function</v>
      </c>
    </row>
    <row r="89" spans="19:21" ht="15">
      <c r="T89" s="29" t="s">
        <v>54</v>
      </c>
      <c r="U89" s="41">
        <f>CORREL(V38:V49,W38:W49)</f>
        <v>-0.31396404730336219</v>
      </c>
    </row>
    <row r="93" spans="19:21">
      <c r="S93" s="30" t="s">
        <v>49</v>
      </c>
      <c r="T93" s="30" t="s">
        <v>50</v>
      </c>
    </row>
    <row r="95" spans="19:21">
      <c r="T95" s="29" t="str">
        <f>"Proportion of "&amp;Stock1</f>
        <v>Proportion of XASX:GEM</v>
      </c>
      <c r="U95" s="29">
        <v>0.5</v>
      </c>
    </row>
    <row r="96" spans="19:21">
      <c r="T96" s="29" t="str">
        <f>"Proportion of "&amp;Stock2</f>
        <v>Proportion of XASX:JIN</v>
      </c>
      <c r="U96" s="29">
        <v>0.5</v>
      </c>
    </row>
    <row r="98" spans="20:21" ht="15">
      <c r="T98" s="29" t="s">
        <v>55</v>
      </c>
      <c r="U98" s="41">
        <f>U95*U56+U96*V56</f>
        <v>2.5771256538548084E-4</v>
      </c>
    </row>
    <row r="99" spans="20:21" ht="16">
      <c r="T99" s="29" t="s">
        <v>56</v>
      </c>
      <c r="U99" s="41">
        <f>U95^2*U57+U96^2*V57 + 2*U95*U96*U81</f>
        <v>3.4811149505991105E-4</v>
      </c>
    </row>
    <row r="100" spans="20:21" ht="15">
      <c r="T100" s="29" t="s">
        <v>57</v>
      </c>
      <c r="U100" s="41">
        <f>SQRT(U99)</f>
        <v>1.8657746248138093E-2</v>
      </c>
    </row>
  </sheetData>
  <sheetProtection algorithmName="SHA-512" hashValue="40yyXyeo4jhtri7tBo/4azIvZv0zbgWZJ0lFc5KU/Vv4datdQY8/fb+8zrElaFVC0nwywzw+tF8BJeZV3eQxLA==" saltValue="iuTPURcVo0i6Y2sOGjYFNQ==" spinCount="100000" sheet="1" objects="1" scenarios="1"/>
  <mergeCells count="1">
    <mergeCell ref="V17:W17"/>
  </mergeCells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P11:V97"/>
  <sheetViews>
    <sheetView zoomScale="50" zoomScaleNormal="50" workbookViewId="0">
      <selection activeCell="C85" activeCellId="8" sqref="H25 D25:G36 C43:E45 D55:I69 C68 C73 C72 C76 C85:C90"/>
    </sheetView>
  </sheetViews>
  <sheetFormatPr baseColWidth="10" defaultColWidth="9.1640625" defaultRowHeight="13"/>
  <cols>
    <col min="1" max="15" width="9.1640625" style="29"/>
    <col min="16" max="16" width="11.1640625" style="29" customWidth="1"/>
    <col min="17" max="17" width="21.5" style="29" customWidth="1"/>
    <col min="18" max="18" width="10.6640625" style="29" bestFit="1" customWidth="1"/>
    <col min="19" max="20" width="9.6640625" style="29" bestFit="1" customWidth="1"/>
    <col min="21" max="16384" width="9.1640625" style="29"/>
  </cols>
  <sheetData>
    <row r="11" spans="16:20" customFormat="1" ht="15"/>
    <row r="12" spans="16:20" customFormat="1" ht="16" thickBot="1"/>
    <row r="13" spans="16:20" customFormat="1" ht="24">
      <c r="P13" s="25" t="s">
        <v>29</v>
      </c>
      <c r="R13" s="26" t="s">
        <v>1</v>
      </c>
      <c r="S13" s="3"/>
      <c r="T13" s="4"/>
    </row>
    <row r="14" spans="16:20" customFormat="1" ht="15">
      <c r="R14" s="8"/>
      <c r="S14" s="42" t="s">
        <v>30</v>
      </c>
      <c r="T14" s="43"/>
    </row>
    <row r="15" spans="16:20" customFormat="1" ht="15">
      <c r="R15" s="8"/>
      <c r="S15" s="27" t="s">
        <v>65</v>
      </c>
      <c r="T15" s="28" t="s">
        <v>66</v>
      </c>
    </row>
    <row r="16" spans="16:20" customFormat="1" ht="15">
      <c r="R16" s="36">
        <v>44998</v>
      </c>
      <c r="S16">
        <v>3.6</v>
      </c>
      <c r="T16" s="12">
        <v>1.0149999999999999</v>
      </c>
    </row>
    <row r="17" spans="16:20" customFormat="1" ht="15">
      <c r="R17" s="36">
        <v>45005</v>
      </c>
      <c r="S17">
        <v>3.63</v>
      </c>
      <c r="T17" s="12">
        <v>1.03</v>
      </c>
    </row>
    <row r="18" spans="16:20" customFormat="1" ht="15">
      <c r="R18" s="36">
        <v>45012</v>
      </c>
      <c r="S18">
        <v>3.53</v>
      </c>
      <c r="T18" s="12">
        <v>1.07</v>
      </c>
    </row>
    <row r="19" spans="16:20" customFormat="1" ht="15">
      <c r="R19" s="36">
        <v>45019</v>
      </c>
      <c r="S19">
        <v>3.55</v>
      </c>
      <c r="T19" s="12">
        <v>1.08</v>
      </c>
    </row>
    <row r="20" spans="16:20" customFormat="1" ht="15">
      <c r="R20" s="36">
        <v>45026</v>
      </c>
      <c r="S20">
        <v>3.53</v>
      </c>
      <c r="T20" s="12">
        <v>1.1299999999999999</v>
      </c>
    </row>
    <row r="21" spans="16:20" customFormat="1" ht="15">
      <c r="R21" s="36">
        <v>45033</v>
      </c>
      <c r="S21">
        <v>3.71</v>
      </c>
      <c r="T21" s="12">
        <v>1.0900000000000001</v>
      </c>
    </row>
    <row r="22" spans="16:20" customFormat="1" ht="15">
      <c r="R22" s="36">
        <v>45040</v>
      </c>
      <c r="S22">
        <v>3.53</v>
      </c>
      <c r="T22" s="12">
        <v>1.155</v>
      </c>
    </row>
    <row r="23" spans="16:20" customFormat="1" ht="15">
      <c r="R23" s="36">
        <v>45047</v>
      </c>
      <c r="S23">
        <v>3.55</v>
      </c>
      <c r="T23" s="12">
        <v>1.1599999999999999</v>
      </c>
    </row>
    <row r="24" spans="16:20" customFormat="1" ht="15">
      <c r="R24" s="36">
        <v>45054</v>
      </c>
      <c r="S24">
        <v>3.5</v>
      </c>
      <c r="T24" s="12">
        <v>1.165</v>
      </c>
    </row>
    <row r="25" spans="16:20" customFormat="1" ht="15">
      <c r="R25" s="36">
        <v>45061</v>
      </c>
      <c r="S25">
        <v>3.54</v>
      </c>
      <c r="T25" s="12">
        <v>1.165</v>
      </c>
    </row>
    <row r="26" spans="16:20" customFormat="1" ht="15">
      <c r="R26" s="36">
        <v>45068</v>
      </c>
      <c r="S26">
        <v>3.24</v>
      </c>
      <c r="T26" s="12">
        <v>1.1399999999999999</v>
      </c>
    </row>
    <row r="27" spans="16:20" customFormat="1" ht="15">
      <c r="R27" s="36">
        <v>45075</v>
      </c>
      <c r="S27">
        <v>3.25</v>
      </c>
      <c r="T27" s="12">
        <v>1.1499999999999999</v>
      </c>
    </row>
    <row r="28" spans="16:20" customFormat="1" ht="16" thickBot="1">
      <c r="R28" s="37">
        <v>45082</v>
      </c>
      <c r="S28" s="14">
        <v>3.34</v>
      </c>
      <c r="T28" s="15">
        <v>1.1399999999999999</v>
      </c>
    </row>
    <row r="29" spans="16:20" customFormat="1" ht="15"/>
    <row r="30" spans="16:20">
      <c r="P30" s="30" t="s">
        <v>31</v>
      </c>
      <c r="Q30" s="30" t="s">
        <v>32</v>
      </c>
    </row>
    <row r="31" spans="16:20" ht="15">
      <c r="Q31" s="29" t="s">
        <v>59</v>
      </c>
    </row>
    <row r="34" spans="16:20">
      <c r="S34" s="31" t="str">
        <f>"r"&amp;Stock3</f>
        <v>rXASX:ACL</v>
      </c>
      <c r="T34" s="31" t="str">
        <f>"r"&amp;Stock4</f>
        <v>rXASX:MVF</v>
      </c>
    </row>
    <row r="35" spans="16:20">
      <c r="R35" s="35">
        <f t="array" ref="R35:R46">Stock_Dates</f>
        <v>45005</v>
      </c>
      <c r="S35" s="41"/>
      <c r="T35" s="41"/>
    </row>
    <row r="36" spans="16:20">
      <c r="R36" s="35">
        <v>45012</v>
      </c>
      <c r="S36" s="41"/>
      <c r="T36" s="41"/>
    </row>
    <row r="37" spans="16:20">
      <c r="R37" s="35">
        <v>45019</v>
      </c>
      <c r="S37" s="41"/>
      <c r="T37" s="41"/>
    </row>
    <row r="38" spans="16:20">
      <c r="R38" s="35">
        <v>45026</v>
      </c>
      <c r="S38" s="41"/>
      <c r="T38" s="41"/>
    </row>
    <row r="39" spans="16:20">
      <c r="R39" s="35">
        <v>45033</v>
      </c>
      <c r="S39" s="41"/>
      <c r="T39" s="41"/>
    </row>
    <row r="40" spans="16:20">
      <c r="R40" s="35">
        <v>45040</v>
      </c>
      <c r="S40" s="41"/>
      <c r="T40" s="41"/>
    </row>
    <row r="41" spans="16:20">
      <c r="R41" s="35">
        <v>45047</v>
      </c>
      <c r="S41" s="41"/>
      <c r="T41" s="41"/>
    </row>
    <row r="42" spans="16:20">
      <c r="R42" s="35">
        <v>45054</v>
      </c>
      <c r="S42" s="41"/>
      <c r="T42" s="41"/>
    </row>
    <row r="43" spans="16:20">
      <c r="R43" s="35">
        <v>45061</v>
      </c>
      <c r="S43" s="41"/>
      <c r="T43" s="41"/>
    </row>
    <row r="44" spans="16:20">
      <c r="R44" s="35">
        <v>45068</v>
      </c>
      <c r="S44" s="41"/>
      <c r="T44" s="41"/>
    </row>
    <row r="45" spans="16:20">
      <c r="R45" s="35">
        <v>45075</v>
      </c>
      <c r="S45" s="41"/>
      <c r="T45" s="41"/>
    </row>
    <row r="46" spans="16:20">
      <c r="R46" s="35">
        <v>45082</v>
      </c>
      <c r="S46" s="41"/>
      <c r="T46" s="41"/>
    </row>
    <row r="48" spans="16:20">
      <c r="P48" s="30" t="s">
        <v>33</v>
      </c>
      <c r="Q48" s="30" t="s">
        <v>34</v>
      </c>
    </row>
    <row r="49" spans="16:22">
      <c r="Q49" s="30" t="s">
        <v>58</v>
      </c>
    </row>
    <row r="52" spans="16:22">
      <c r="R52" s="30" t="str">
        <f>Stock3</f>
        <v>XASX:ACL</v>
      </c>
      <c r="S52" s="30" t="str">
        <f>Stock4</f>
        <v>XASX:MVF</v>
      </c>
    </row>
    <row r="53" spans="16:22">
      <c r="Q53" s="30" t="s">
        <v>35</v>
      </c>
      <c r="R53" s="41"/>
      <c r="S53" s="41"/>
    </row>
    <row r="54" spans="16:22">
      <c r="Q54" s="30" t="s">
        <v>36</v>
      </c>
      <c r="R54" s="41"/>
      <c r="S54" s="41"/>
    </row>
    <row r="55" spans="16:22">
      <c r="Q55" s="30" t="s">
        <v>37</v>
      </c>
      <c r="R55" s="41"/>
      <c r="S55" s="41"/>
    </row>
    <row r="57" spans="16:22">
      <c r="P57" s="30" t="s">
        <v>38</v>
      </c>
      <c r="Q57" s="30" t="str">
        <f>"Calculate the covariance of the returns of "&amp;Stock3&amp;" and "&amp;Stock4&amp;" using:"</f>
        <v>Calculate the covariance of the returns of XASX:ACL and XASX:MVF using:</v>
      </c>
    </row>
    <row r="58" spans="16:22">
      <c r="P58" s="32" t="s">
        <v>39</v>
      </c>
      <c r="Q58" s="29" t="s">
        <v>40</v>
      </c>
    </row>
    <row r="62" spans="16:22">
      <c r="Q62" s="29" t="s">
        <v>41</v>
      </c>
    </row>
    <row r="63" spans="16:22">
      <c r="S63" s="33" t="s">
        <v>42</v>
      </c>
      <c r="T63" s="33" t="s">
        <v>43</v>
      </c>
      <c r="V63" s="33" t="s">
        <v>44</v>
      </c>
    </row>
    <row r="64" spans="16:22" ht="15">
      <c r="S64" s="34" t="s">
        <v>51</v>
      </c>
      <c r="T64" s="34" t="s">
        <v>52</v>
      </c>
      <c r="V64" s="30" t="s">
        <v>45</v>
      </c>
    </row>
    <row r="65" spans="16:22">
      <c r="R65" s="35">
        <f t="array" ref="R65:R76">Stock_Dates</f>
        <v>45005</v>
      </c>
      <c r="S65" s="41"/>
      <c r="T65" s="41"/>
      <c r="V65" s="41"/>
    </row>
    <row r="66" spans="16:22">
      <c r="R66" s="35">
        <v>45012</v>
      </c>
      <c r="S66" s="41"/>
      <c r="T66" s="41"/>
      <c r="V66" s="41"/>
    </row>
    <row r="67" spans="16:22">
      <c r="R67" s="35">
        <v>45019</v>
      </c>
      <c r="S67" s="41"/>
      <c r="T67" s="41"/>
      <c r="V67" s="41"/>
    </row>
    <row r="68" spans="16:22">
      <c r="R68" s="35">
        <v>45026</v>
      </c>
      <c r="S68" s="41"/>
      <c r="T68" s="41"/>
      <c r="V68" s="41"/>
    </row>
    <row r="69" spans="16:22">
      <c r="R69" s="35">
        <v>45033</v>
      </c>
      <c r="S69" s="41"/>
      <c r="T69" s="41"/>
      <c r="V69" s="41"/>
    </row>
    <row r="70" spans="16:22">
      <c r="R70" s="35">
        <v>45040</v>
      </c>
      <c r="S70" s="41"/>
      <c r="T70" s="41"/>
      <c r="V70" s="41"/>
    </row>
    <row r="71" spans="16:22">
      <c r="R71" s="35">
        <v>45047</v>
      </c>
      <c r="S71" s="41"/>
      <c r="T71" s="41"/>
      <c r="V71" s="41"/>
    </row>
    <row r="72" spans="16:22">
      <c r="R72" s="35">
        <v>45054</v>
      </c>
      <c r="S72" s="41"/>
      <c r="T72" s="41"/>
      <c r="V72" s="41"/>
    </row>
    <row r="73" spans="16:22">
      <c r="R73" s="35">
        <v>45061</v>
      </c>
      <c r="S73" s="41"/>
      <c r="T73" s="41"/>
      <c r="V73" s="41"/>
    </row>
    <row r="74" spans="16:22">
      <c r="R74" s="35">
        <v>45068</v>
      </c>
      <c r="S74" s="41"/>
      <c r="T74" s="41"/>
      <c r="V74" s="41"/>
    </row>
    <row r="75" spans="16:22">
      <c r="R75" s="35">
        <v>45075</v>
      </c>
      <c r="S75" s="41"/>
      <c r="T75" s="41"/>
      <c r="V75" s="41"/>
    </row>
    <row r="76" spans="16:22">
      <c r="R76" s="35">
        <v>45082</v>
      </c>
      <c r="S76" s="41"/>
      <c r="T76" s="41"/>
      <c r="V76" s="41"/>
    </row>
    <row r="78" spans="16:22" ht="15">
      <c r="Q78" s="31" t="s">
        <v>53</v>
      </c>
      <c r="R78" s="41"/>
    </row>
    <row r="80" spans="16:22">
      <c r="P80" s="32" t="s">
        <v>46</v>
      </c>
      <c r="Q80" s="29" t="s">
        <v>47</v>
      </c>
    </row>
    <row r="82" spans="16:18" ht="15">
      <c r="Q82" s="31" t="s">
        <v>53</v>
      </c>
      <c r="R82" s="41"/>
    </row>
    <row r="84" spans="16:18">
      <c r="P84" s="30" t="s">
        <v>48</v>
      </c>
      <c r="Q84" s="30" t="str">
        <f>"Calculate the correlation coefficient of "&amp;Stock3&amp;" and "&amp;Stock4&amp;" using the Correl(Array 1, Array 2) function"</f>
        <v>Calculate the correlation coefficient of XASX:ACL and XASX:MVF using the Correl(Array 1, Array 2) function</v>
      </c>
    </row>
    <row r="86" spans="16:18" ht="15">
      <c r="Q86" s="29" t="s">
        <v>54</v>
      </c>
      <c r="R86" s="41"/>
    </row>
    <row r="90" spans="16:18">
      <c r="P90" s="30" t="s">
        <v>49</v>
      </c>
      <c r="Q90" s="30" t="s">
        <v>50</v>
      </c>
    </row>
    <row r="92" spans="16:18">
      <c r="Q92" s="29" t="str">
        <f>"Proportion of "&amp;Stock3</f>
        <v>Proportion of XASX:ACL</v>
      </c>
      <c r="R92" s="29">
        <v>0.5</v>
      </c>
    </row>
    <row r="93" spans="16:18">
      <c r="Q93" s="29" t="str">
        <f>"Proportion of "&amp;Stock4</f>
        <v>Proportion of XASX:MVF</v>
      </c>
      <c r="R93" s="29">
        <v>0.5</v>
      </c>
    </row>
    <row r="95" spans="16:18" ht="15">
      <c r="Q95" s="29" t="s">
        <v>55</v>
      </c>
      <c r="R95" s="41"/>
    </row>
    <row r="96" spans="16:18" ht="16">
      <c r="Q96" s="29" t="s">
        <v>56</v>
      </c>
      <c r="R96" s="41"/>
    </row>
    <row r="97" spans="17:18" ht="15">
      <c r="Q97" s="29" t="s">
        <v>57</v>
      </c>
      <c r="R97" s="41"/>
    </row>
  </sheetData>
  <sheetProtection algorithmName="SHA-512" hashValue="nMO21TB3sjI7plH2VFpGyIE9YIJJtMh8rdIjQE+92r8LVimyIu86rlL492uyJbHpJSRSlKgkXB5Y1WcM3R+e8w==" saltValue="LLWlf5361o11GTK1Q9eV3g==" spinCount="100000" sheet="1" objects="1" scenarios="1"/>
  <mergeCells count="1">
    <mergeCell ref="S14:T14"/>
  </mergeCells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M8:S94"/>
  <sheetViews>
    <sheetView topLeftCell="A58" zoomScale="50" zoomScaleNormal="50" workbookViewId="0">
      <selection activeCell="I86" sqref="I86"/>
    </sheetView>
  </sheetViews>
  <sheetFormatPr baseColWidth="10" defaultColWidth="9.1640625" defaultRowHeight="13"/>
  <cols>
    <col min="1" max="12" width="9.1640625" style="29"/>
    <col min="13" max="13" width="11.1640625" style="29" customWidth="1"/>
    <col min="14" max="14" width="21.5" style="29" customWidth="1"/>
    <col min="15" max="15" width="10.6640625" style="29" bestFit="1" customWidth="1"/>
    <col min="16" max="17" width="9.6640625" style="29" bestFit="1" customWidth="1"/>
    <col min="18" max="16384" width="9.1640625" style="29"/>
  </cols>
  <sheetData>
    <row r="8" spans="13:17" customFormat="1" ht="15"/>
    <row r="9" spans="13:17" customFormat="1" ht="16" thickBot="1"/>
    <row r="10" spans="13:17" customFormat="1" ht="24">
      <c r="M10" s="25" t="s">
        <v>29</v>
      </c>
      <c r="O10" s="26" t="s">
        <v>1</v>
      </c>
      <c r="P10" s="3"/>
      <c r="Q10" s="4"/>
    </row>
    <row r="11" spans="13:17" customFormat="1" ht="15">
      <c r="O11" s="8"/>
      <c r="P11" s="42" t="s">
        <v>30</v>
      </c>
      <c r="Q11" s="43"/>
    </row>
    <row r="12" spans="13:17" customFormat="1" ht="15">
      <c r="O12" s="8"/>
      <c r="P12" s="27" t="s">
        <v>67</v>
      </c>
      <c r="Q12" s="28" t="s">
        <v>68</v>
      </c>
    </row>
    <row r="13" spans="13:17" customFormat="1" ht="15">
      <c r="O13" s="36">
        <v>44998</v>
      </c>
      <c r="P13">
        <v>0.28499999999999998</v>
      </c>
      <c r="Q13" s="12">
        <v>3.67</v>
      </c>
    </row>
    <row r="14" spans="13:17" customFormat="1" ht="15">
      <c r="O14" s="36">
        <v>45005</v>
      </c>
      <c r="P14">
        <v>0.22500000000000001</v>
      </c>
      <c r="Q14" s="12">
        <v>3.56</v>
      </c>
    </row>
    <row r="15" spans="13:17" customFormat="1" ht="15">
      <c r="O15" s="36">
        <v>45012</v>
      </c>
      <c r="P15">
        <v>0.25</v>
      </c>
      <c r="Q15" s="12">
        <v>3.94</v>
      </c>
    </row>
    <row r="16" spans="13:17" customFormat="1" ht="15">
      <c r="O16" s="36">
        <v>45019</v>
      </c>
      <c r="P16">
        <v>0.26</v>
      </c>
      <c r="Q16" s="12">
        <v>3.61</v>
      </c>
    </row>
    <row r="17" spans="13:17" customFormat="1" ht="15">
      <c r="O17" s="36">
        <v>45026</v>
      </c>
      <c r="P17">
        <v>0.255</v>
      </c>
      <c r="Q17" s="12">
        <v>3.75</v>
      </c>
    </row>
    <row r="18" spans="13:17" customFormat="1" ht="15">
      <c r="O18" s="36">
        <v>45033</v>
      </c>
      <c r="P18">
        <v>0.245</v>
      </c>
      <c r="Q18" s="12">
        <v>4.0199999999999996</v>
      </c>
    </row>
    <row r="19" spans="13:17" customFormat="1" ht="15">
      <c r="O19" s="36">
        <v>45040</v>
      </c>
      <c r="P19">
        <v>0.25</v>
      </c>
      <c r="Q19" s="12">
        <v>4.24</v>
      </c>
    </row>
    <row r="20" spans="13:17" customFormat="1" ht="15">
      <c r="O20" s="36">
        <v>45047</v>
      </c>
      <c r="P20">
        <v>0.22</v>
      </c>
      <c r="Q20" s="12">
        <v>4.4000000000000004</v>
      </c>
    </row>
    <row r="21" spans="13:17" customFormat="1" ht="15">
      <c r="O21" s="36">
        <v>45054</v>
      </c>
      <c r="P21">
        <v>0.22</v>
      </c>
      <c r="Q21" s="12">
        <v>4.78</v>
      </c>
    </row>
    <row r="22" spans="13:17" customFormat="1" ht="15">
      <c r="O22" s="36">
        <v>45061</v>
      </c>
      <c r="P22">
        <v>0.21</v>
      </c>
      <c r="Q22" s="12">
        <v>4.99</v>
      </c>
    </row>
    <row r="23" spans="13:17" customFormat="1" ht="15">
      <c r="O23" s="36">
        <v>45068</v>
      </c>
      <c r="P23">
        <v>0.22</v>
      </c>
      <c r="Q23" s="12">
        <v>4.54</v>
      </c>
    </row>
    <row r="24" spans="13:17" customFormat="1" ht="15">
      <c r="O24" s="36">
        <v>45075</v>
      </c>
      <c r="P24">
        <v>0.22</v>
      </c>
      <c r="Q24" s="12">
        <v>4.47</v>
      </c>
    </row>
    <row r="25" spans="13:17" customFormat="1" ht="16" thickBot="1">
      <c r="O25" s="37">
        <v>45082</v>
      </c>
      <c r="P25" s="14">
        <v>0.16500000000000001</v>
      </c>
      <c r="Q25" s="15">
        <v>4.75</v>
      </c>
    </row>
    <row r="26" spans="13:17" customFormat="1" ht="15"/>
    <row r="27" spans="13:17">
      <c r="M27" s="30" t="s">
        <v>31</v>
      </c>
      <c r="N27" s="30" t="s">
        <v>32</v>
      </c>
    </row>
    <row r="28" spans="13:17" ht="15">
      <c r="N28" s="29" t="s">
        <v>59</v>
      </c>
    </row>
    <row r="31" spans="13:17">
      <c r="P31" s="31" t="str">
        <f>"r"&amp;Stock5</f>
        <v>rXASX:BCB</v>
      </c>
      <c r="Q31" s="31" t="str">
        <f>"r"&amp;Stock6</f>
        <v>rXASX:PLS</v>
      </c>
    </row>
    <row r="32" spans="13:17">
      <c r="O32" s="35">
        <f t="array" ref="O32:O43">Stock_Dates</f>
        <v>45005</v>
      </c>
      <c r="P32" s="41"/>
      <c r="Q32" s="41"/>
    </row>
    <row r="33" spans="13:17">
      <c r="O33" s="35">
        <v>45012</v>
      </c>
      <c r="P33" s="41"/>
      <c r="Q33" s="41"/>
    </row>
    <row r="34" spans="13:17">
      <c r="O34" s="35">
        <v>45019</v>
      </c>
      <c r="P34" s="41"/>
      <c r="Q34" s="41"/>
    </row>
    <row r="35" spans="13:17">
      <c r="O35" s="35">
        <v>45026</v>
      </c>
      <c r="P35" s="41"/>
      <c r="Q35" s="41"/>
    </row>
    <row r="36" spans="13:17">
      <c r="O36" s="35">
        <v>45033</v>
      </c>
      <c r="P36" s="41"/>
      <c r="Q36" s="41"/>
    </row>
    <row r="37" spans="13:17">
      <c r="O37" s="35">
        <v>45040</v>
      </c>
      <c r="P37" s="41"/>
      <c r="Q37" s="41"/>
    </row>
    <row r="38" spans="13:17">
      <c r="O38" s="35">
        <v>45047</v>
      </c>
      <c r="P38" s="41"/>
      <c r="Q38" s="41"/>
    </row>
    <row r="39" spans="13:17">
      <c r="O39" s="35">
        <v>45054</v>
      </c>
      <c r="P39" s="41"/>
      <c r="Q39" s="41"/>
    </row>
    <row r="40" spans="13:17">
      <c r="O40" s="35">
        <v>45061</v>
      </c>
      <c r="P40" s="41"/>
      <c r="Q40" s="41"/>
    </row>
    <row r="41" spans="13:17">
      <c r="O41" s="35">
        <v>45068</v>
      </c>
      <c r="P41" s="41"/>
      <c r="Q41" s="41"/>
    </row>
    <row r="42" spans="13:17">
      <c r="O42" s="35">
        <v>45075</v>
      </c>
      <c r="P42" s="41"/>
      <c r="Q42" s="41"/>
    </row>
    <row r="43" spans="13:17">
      <c r="O43" s="35">
        <v>45082</v>
      </c>
      <c r="P43" s="41"/>
      <c r="Q43" s="41"/>
    </row>
    <row r="45" spans="13:17">
      <c r="M45" s="30" t="s">
        <v>33</v>
      </c>
      <c r="N45" s="30" t="s">
        <v>34</v>
      </c>
    </row>
    <row r="46" spans="13:17">
      <c r="N46" s="30" t="s">
        <v>58</v>
      </c>
    </row>
    <row r="49" spans="13:19">
      <c r="O49" s="30" t="str">
        <f>Stock5</f>
        <v>XASX:BCB</v>
      </c>
      <c r="P49" s="30" t="str">
        <f>Stock6</f>
        <v>XASX:PLS</v>
      </c>
    </row>
    <row r="50" spans="13:19">
      <c r="N50" s="30" t="s">
        <v>35</v>
      </c>
      <c r="O50" s="41"/>
      <c r="P50" s="41"/>
    </row>
    <row r="51" spans="13:19">
      <c r="N51" s="30" t="s">
        <v>36</v>
      </c>
      <c r="O51" s="41"/>
      <c r="P51" s="41"/>
    </row>
    <row r="52" spans="13:19">
      <c r="N52" s="30" t="s">
        <v>37</v>
      </c>
      <c r="O52" s="41"/>
      <c r="P52" s="41"/>
    </row>
    <row r="54" spans="13:19">
      <c r="M54" s="30" t="s">
        <v>38</v>
      </c>
      <c r="N54" s="30" t="str">
        <f>"Calculate the covariance of the returns of "&amp;Stock5&amp;" and "&amp;Stock6&amp;" using:"</f>
        <v>Calculate the covariance of the returns of XASX:BCB and XASX:PLS using:</v>
      </c>
    </row>
    <row r="55" spans="13:19">
      <c r="M55" s="32" t="s">
        <v>39</v>
      </c>
      <c r="N55" s="29" t="s">
        <v>40</v>
      </c>
    </row>
    <row r="59" spans="13:19">
      <c r="N59" s="29" t="s">
        <v>41</v>
      </c>
    </row>
    <row r="60" spans="13:19">
      <c r="P60" s="33" t="s">
        <v>42</v>
      </c>
      <c r="Q60" s="33" t="s">
        <v>43</v>
      </c>
      <c r="S60" s="33" t="s">
        <v>44</v>
      </c>
    </row>
    <row r="61" spans="13:19" ht="15">
      <c r="P61" s="34" t="s">
        <v>51</v>
      </c>
      <c r="Q61" s="34" t="s">
        <v>52</v>
      </c>
      <c r="S61" s="30" t="s">
        <v>45</v>
      </c>
    </row>
    <row r="62" spans="13:19">
      <c r="O62" s="35">
        <f t="array" ref="O62:O73">Stock_Dates</f>
        <v>45005</v>
      </c>
      <c r="P62" s="41"/>
      <c r="Q62" s="41"/>
      <c r="S62" s="41"/>
    </row>
    <row r="63" spans="13:19">
      <c r="O63" s="35">
        <v>45012</v>
      </c>
      <c r="P63" s="41"/>
      <c r="Q63" s="41"/>
      <c r="S63" s="41"/>
    </row>
    <row r="64" spans="13:19">
      <c r="O64" s="35">
        <v>45019</v>
      </c>
      <c r="P64" s="41"/>
      <c r="Q64" s="41"/>
      <c r="S64" s="41"/>
    </row>
    <row r="65" spans="13:19">
      <c r="O65" s="35">
        <v>45026</v>
      </c>
      <c r="P65" s="41"/>
      <c r="Q65" s="41"/>
      <c r="S65" s="41"/>
    </row>
    <row r="66" spans="13:19">
      <c r="O66" s="35">
        <v>45033</v>
      </c>
      <c r="P66" s="41"/>
      <c r="Q66" s="41"/>
      <c r="S66" s="41"/>
    </row>
    <row r="67" spans="13:19">
      <c r="O67" s="35">
        <v>45040</v>
      </c>
      <c r="P67" s="41"/>
      <c r="Q67" s="41"/>
      <c r="S67" s="41"/>
    </row>
    <row r="68" spans="13:19">
      <c r="O68" s="35">
        <v>45047</v>
      </c>
      <c r="P68" s="41"/>
      <c r="Q68" s="41"/>
      <c r="S68" s="41"/>
    </row>
    <row r="69" spans="13:19">
      <c r="O69" s="35">
        <v>45054</v>
      </c>
      <c r="P69" s="41"/>
      <c r="Q69" s="41"/>
      <c r="S69" s="41"/>
    </row>
    <row r="70" spans="13:19">
      <c r="O70" s="35">
        <v>45061</v>
      </c>
      <c r="P70" s="41"/>
      <c r="Q70" s="41"/>
      <c r="S70" s="41"/>
    </row>
    <row r="71" spans="13:19">
      <c r="O71" s="35">
        <v>45068</v>
      </c>
      <c r="P71" s="41"/>
      <c r="Q71" s="41"/>
      <c r="S71" s="41"/>
    </row>
    <row r="72" spans="13:19">
      <c r="O72" s="35">
        <v>45075</v>
      </c>
      <c r="P72" s="41"/>
      <c r="Q72" s="41"/>
      <c r="S72" s="41"/>
    </row>
    <row r="73" spans="13:19">
      <c r="O73" s="35">
        <v>45082</v>
      </c>
      <c r="P73" s="41"/>
      <c r="Q73" s="41"/>
      <c r="S73" s="41"/>
    </row>
    <row r="75" spans="13:19" ht="15">
      <c r="N75" s="31" t="s">
        <v>53</v>
      </c>
      <c r="O75" s="41"/>
    </row>
    <row r="77" spans="13:19">
      <c r="M77" s="32" t="s">
        <v>46</v>
      </c>
      <c r="N77" s="29" t="s">
        <v>47</v>
      </c>
    </row>
    <row r="79" spans="13:19" ht="15">
      <c r="N79" s="31" t="s">
        <v>53</v>
      </c>
      <c r="O79" s="41"/>
    </row>
    <row r="81" spans="13:15">
      <c r="M81" s="30" t="s">
        <v>48</v>
      </c>
      <c r="N81" s="30" t="str">
        <f>"Calculate the correlation coefficient of "&amp;Stock5&amp;" and "&amp;Stock6&amp;" using the Correl(Array 1, Array 2) function"</f>
        <v>Calculate the correlation coefficient of XASX:BCB and XASX:PLS using the Correl(Array 1, Array 2) function</v>
      </c>
    </row>
    <row r="83" spans="13:15" ht="15">
      <c r="N83" s="29" t="s">
        <v>54</v>
      </c>
      <c r="O83" s="41"/>
    </row>
    <row r="87" spans="13:15">
      <c r="M87" s="30" t="s">
        <v>49</v>
      </c>
      <c r="N87" s="30" t="s">
        <v>50</v>
      </c>
    </row>
    <row r="89" spans="13:15">
      <c r="N89" s="29" t="str">
        <f>"Proportion of "&amp;Stock5</f>
        <v>Proportion of XASX:BCB</v>
      </c>
      <c r="O89" s="29">
        <v>0.5</v>
      </c>
    </row>
    <row r="90" spans="13:15">
      <c r="N90" s="29" t="str">
        <f>"Proportion of "&amp;Stock6</f>
        <v>Proportion of XASX:PLS</v>
      </c>
      <c r="O90" s="29">
        <v>0.5</v>
      </c>
    </row>
    <row r="92" spans="13:15" ht="15">
      <c r="N92" s="29" t="s">
        <v>55</v>
      </c>
      <c r="O92" s="41"/>
    </row>
    <row r="93" spans="13:15" ht="16">
      <c r="N93" s="29" t="s">
        <v>56</v>
      </c>
      <c r="O93" s="41"/>
    </row>
    <row r="94" spans="13:15" ht="15">
      <c r="N94" s="29" t="s">
        <v>57</v>
      </c>
      <c r="O94" s="41"/>
    </row>
  </sheetData>
  <sheetProtection algorithmName="SHA-512" hashValue="YqLnTRr1KpanDQbX6znJYmT5eMBVAoYsXWFjHbiZUaa+slW+/HzeLclmoL9Akx3NYtwHkJeYd1EnDZTU2oPT4Q==" saltValue="XI7PHuZyAnyYcWScRDq2DQ==" spinCount="100000" sheet="1" objects="1" scenarios="1"/>
  <mergeCells count="1">
    <mergeCell ref="P11:Q11"/>
  </mergeCells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L7:U80"/>
  <sheetViews>
    <sheetView tabSelected="1" topLeftCell="A66" zoomScale="112" zoomScaleNormal="50" workbookViewId="0">
      <selection activeCell="K80" sqref="K80"/>
    </sheetView>
  </sheetViews>
  <sheetFormatPr baseColWidth="10" defaultColWidth="8.83203125" defaultRowHeight="15"/>
  <cols>
    <col min="12" max="12" width="10.5" customWidth="1"/>
    <col min="13" max="13" width="16.6640625" customWidth="1"/>
    <col min="14" max="15" width="10.33203125" bestFit="1" customWidth="1"/>
  </cols>
  <sheetData>
    <row r="7" spans="13:20" ht="18">
      <c r="M7" s="1" t="s">
        <v>0</v>
      </c>
    </row>
    <row r="8" spans="13:20" ht="16" thickBot="1"/>
    <row r="9" spans="13:20">
      <c r="M9" s="2" t="s">
        <v>1</v>
      </c>
      <c r="N9" s="3"/>
      <c r="O9" s="3"/>
      <c r="P9" s="3"/>
      <c r="Q9" s="3"/>
      <c r="R9" s="4"/>
    </row>
    <row r="10" spans="13:20">
      <c r="M10" s="5" t="s">
        <v>2</v>
      </c>
      <c r="R10" s="6" t="s">
        <v>3</v>
      </c>
      <c r="S10" s="7"/>
    </row>
    <row r="11" spans="13:20">
      <c r="M11" s="8">
        <v>0.1</v>
      </c>
      <c r="N11">
        <v>-0.1</v>
      </c>
      <c r="O11">
        <v>0.2</v>
      </c>
      <c r="P11">
        <v>0.2</v>
      </c>
      <c r="R11" s="9">
        <v>0.06</v>
      </c>
      <c r="S11" s="10"/>
      <c r="T11" s="11"/>
    </row>
    <row r="12" spans="13:20">
      <c r="M12" s="8">
        <f>N11</f>
        <v>-0.1</v>
      </c>
      <c r="N12">
        <v>0.3</v>
      </c>
      <c r="O12">
        <v>0.1</v>
      </c>
      <c r="P12">
        <v>0.02</v>
      </c>
      <c r="R12" s="9">
        <v>0.08</v>
      </c>
    </row>
    <row r="13" spans="13:20">
      <c r="M13" s="8">
        <f>O11</f>
        <v>0.2</v>
      </c>
      <c r="N13">
        <f>O12</f>
        <v>0.1</v>
      </c>
      <c r="O13">
        <v>0.4</v>
      </c>
      <c r="P13">
        <v>0.06</v>
      </c>
      <c r="R13" s="9">
        <v>0.1</v>
      </c>
    </row>
    <row r="14" spans="13:20">
      <c r="M14" s="8">
        <f>P11</f>
        <v>0.2</v>
      </c>
      <c r="N14">
        <f>P12</f>
        <v>0.02</v>
      </c>
      <c r="O14">
        <f>P13</f>
        <v>0.06</v>
      </c>
      <c r="P14">
        <v>0.5</v>
      </c>
      <c r="R14" s="9">
        <v>0.15</v>
      </c>
    </row>
    <row r="15" spans="13:20">
      <c r="M15" s="8"/>
      <c r="R15" s="12"/>
    </row>
    <row r="16" spans="13:20">
      <c r="M16" s="8" t="s">
        <v>4</v>
      </c>
      <c r="R16" s="12"/>
    </row>
    <row r="17" spans="12:21">
      <c r="M17" s="8">
        <v>0.2</v>
      </c>
      <c r="N17">
        <v>0.3</v>
      </c>
      <c r="O17">
        <v>0.4</v>
      </c>
      <c r="P17">
        <f>1-O17-N17-M17</f>
        <v>9.9999999999999978E-2</v>
      </c>
      <c r="R17" s="12"/>
    </row>
    <row r="18" spans="12:21">
      <c r="M18" s="8" t="s">
        <v>5</v>
      </c>
      <c r="R18" s="12"/>
    </row>
    <row r="19" spans="12:21" ht="16" thickBot="1">
      <c r="M19" s="13">
        <v>0.2</v>
      </c>
      <c r="N19" s="14">
        <v>0.1</v>
      </c>
      <c r="O19" s="14">
        <v>0.1</v>
      </c>
      <c r="P19" s="14">
        <f>1-O19-N19-M19</f>
        <v>0.60000000000000009</v>
      </c>
      <c r="Q19" s="14"/>
      <c r="R19" s="15"/>
    </row>
    <row r="22" spans="12:21">
      <c r="L22" s="7" t="s">
        <v>6</v>
      </c>
      <c r="M22" s="7" t="s">
        <v>7</v>
      </c>
      <c r="S22" s="7"/>
    </row>
    <row r="23" spans="12:21">
      <c r="M23" t="s">
        <v>4</v>
      </c>
      <c r="O23" t="s">
        <v>5</v>
      </c>
    </row>
    <row r="24" spans="12:21">
      <c r="M24" s="38">
        <f t="array" ref="M24:M27">TRANSPOSE(M17:P17)</f>
        <v>0.2</v>
      </c>
      <c r="O24" s="38">
        <f t="array" ref="O24:O27">TRANSPOSE(M19:P19)</f>
        <v>0.2</v>
      </c>
    </row>
    <row r="25" spans="12:21">
      <c r="M25" s="38">
        <v>0.3</v>
      </c>
      <c r="O25" s="38">
        <v>0.1</v>
      </c>
    </row>
    <row r="26" spans="12:21">
      <c r="M26" s="38">
        <v>0.4</v>
      </c>
      <c r="O26" s="38">
        <v>0.1</v>
      </c>
    </row>
    <row r="27" spans="12:21">
      <c r="M27" s="38">
        <v>9.9999999999999978E-2</v>
      </c>
      <c r="O27" s="38">
        <v>0.60000000000000009</v>
      </c>
    </row>
    <row r="30" spans="12:21">
      <c r="L30" s="7" t="s">
        <v>8</v>
      </c>
      <c r="M30" s="7" t="s">
        <v>9</v>
      </c>
    </row>
    <row r="31" spans="12:21">
      <c r="N31" t="s">
        <v>4</v>
      </c>
      <c r="O31" t="s">
        <v>5</v>
      </c>
      <c r="S31" s="7"/>
    </row>
    <row r="32" spans="12:21">
      <c r="M32" t="s">
        <v>10</v>
      </c>
      <c r="N32" s="39" cm="1">
        <f t="array" ref="N32">MMULT(M17:P17,R11:R14)</f>
        <v>9.1000000000000011E-2</v>
      </c>
      <c r="O32" s="39" cm="1">
        <f t="array" ref="O32">MMULT(M19:P19,R11:R14)</f>
        <v>0.12000000000000001</v>
      </c>
      <c r="T32" s="16"/>
      <c r="U32" s="16"/>
    </row>
    <row r="33" spans="12:21">
      <c r="M33" t="s">
        <v>11</v>
      </c>
      <c r="N33" s="39" cm="1">
        <f t="array" ref="N33">MMULT(MMULT(M17:P17,M11:P14),_xlfn.ANCHORARRAY(M24))</f>
        <v>0.15800000000000003</v>
      </c>
      <c r="O33" s="39" cm="1">
        <f t="array" ref="O33">MMULT(MMULT(M19:P19,M11:P14),_xlfn.ANCHORARRAY(O24))</f>
        <v>0.25460000000000005</v>
      </c>
      <c r="T33" s="16"/>
      <c r="U33" s="16"/>
    </row>
    <row r="34" spans="12:21">
      <c r="M34" t="s">
        <v>12</v>
      </c>
      <c r="N34" s="39">
        <f>SQRT(N33)</f>
        <v>0.39749213828703583</v>
      </c>
      <c r="O34" s="39">
        <f>SQRT(O33)</f>
        <v>0.50457903246171465</v>
      </c>
      <c r="T34" s="16"/>
      <c r="U34" s="16"/>
    </row>
    <row r="37" spans="12:21">
      <c r="L37" s="7" t="s">
        <v>13</v>
      </c>
      <c r="M37" s="7" t="s">
        <v>14</v>
      </c>
    </row>
    <row r="38" spans="12:21" ht="17">
      <c r="L38" s="7"/>
      <c r="M38" s="10" t="s">
        <v>15</v>
      </c>
    </row>
    <row r="39" spans="12:21">
      <c r="S39" s="7"/>
    </row>
    <row r="40" spans="12:21">
      <c r="M40" t="s">
        <v>16</v>
      </c>
      <c r="N40" s="39" cm="1">
        <f t="array" ref="N40">MMULT(MMULT(M17:P17,M11:P14),O24:O27)</f>
        <v>0.12480000000000002</v>
      </c>
      <c r="T40" s="16"/>
    </row>
    <row r="41" spans="12:21">
      <c r="M41" t="s">
        <v>17</v>
      </c>
      <c r="N41" s="39">
        <f>N40/(N34*O34)</f>
        <v>0.62223844747262325</v>
      </c>
      <c r="T41" s="16"/>
    </row>
    <row r="44" spans="12:21">
      <c r="L44" s="7" t="s">
        <v>18</v>
      </c>
      <c r="M44" s="7" t="s">
        <v>19</v>
      </c>
    </row>
    <row r="46" spans="12:21">
      <c r="M46" s="17" t="s">
        <v>20</v>
      </c>
      <c r="N46">
        <v>0.3</v>
      </c>
      <c r="S46" s="7"/>
    </row>
    <row r="47" spans="12:21">
      <c r="M47" s="17" t="s">
        <v>21</v>
      </c>
      <c r="N47">
        <f>1-N46</f>
        <v>0.7</v>
      </c>
      <c r="T47" s="16"/>
    </row>
    <row r="48" spans="12:21">
      <c r="M48" t="s">
        <v>22</v>
      </c>
      <c r="N48" s="39">
        <f>N46*N32+N47*O32</f>
        <v>0.11130000000000001</v>
      </c>
      <c r="T48" s="16"/>
    </row>
    <row r="49" spans="12:21">
      <c r="M49" t="s">
        <v>23</v>
      </c>
      <c r="N49" s="40">
        <f>N46^2*N33+(1-N46)^2*O33 + 2*N40*N46*(1-N46)</f>
        <v>0.19139000000000003</v>
      </c>
      <c r="T49" s="16"/>
    </row>
    <row r="50" spans="12:21">
      <c r="M50" t="s">
        <v>24</v>
      </c>
      <c r="N50" s="39">
        <f>SQRT(N49)</f>
        <v>0.43748142817724278</v>
      </c>
    </row>
    <row r="53" spans="12:21">
      <c r="L53" s="7"/>
      <c r="M53" s="7" t="s">
        <v>25</v>
      </c>
    </row>
    <row r="54" spans="12:21">
      <c r="S54" s="7"/>
    </row>
    <row r="55" spans="12:21">
      <c r="M55" s="17" t="s">
        <v>20</v>
      </c>
      <c r="N55" s="18" t="s">
        <v>26</v>
      </c>
      <c r="O55" s="18" t="s">
        <v>10</v>
      </c>
      <c r="S55" s="17"/>
      <c r="T55" s="18"/>
      <c r="U55" s="18"/>
    </row>
    <row r="56" spans="12:21">
      <c r="M56" s="19"/>
      <c r="N56" s="20">
        <f>N50</f>
        <v>0.43748142817724278</v>
      </c>
      <c r="O56" s="20">
        <f>N48</f>
        <v>0.11130000000000001</v>
      </c>
      <c r="T56" s="16"/>
      <c r="U56" s="16"/>
    </row>
    <row r="57" spans="12:21">
      <c r="M57" s="21">
        <v>0</v>
      </c>
      <c r="N57" s="20">
        <f t="dataTable" ref="N57:O77" dt2D="0" dtr="0" r1="N46"/>
        <v>0.50457903246171465</v>
      </c>
      <c r="O57" s="20">
        <v>0.12000000000000001</v>
      </c>
      <c r="S57" s="18"/>
      <c r="T57" s="16"/>
      <c r="U57" s="16"/>
    </row>
    <row r="58" spans="12:21">
      <c r="M58" s="21">
        <v>0.05</v>
      </c>
      <c r="N58" s="20">
        <v>0.49196290510565938</v>
      </c>
      <c r="O58" s="20">
        <v>0.11855</v>
      </c>
      <c r="S58" s="18"/>
      <c r="T58" s="16"/>
      <c r="U58" s="16"/>
    </row>
    <row r="59" spans="12:21">
      <c r="M59" s="21">
        <v>0.1</v>
      </c>
      <c r="N59" s="20">
        <v>0.47986456422619922</v>
      </c>
      <c r="O59" s="20">
        <v>0.11710000000000001</v>
      </c>
      <c r="S59" s="18"/>
      <c r="T59" s="16"/>
      <c r="U59" s="16"/>
    </row>
    <row r="60" spans="12:21">
      <c r="M60" s="21">
        <v>0.15</v>
      </c>
      <c r="N60" s="20">
        <v>0.46832413988604088</v>
      </c>
      <c r="O60" s="20">
        <v>0.11565</v>
      </c>
      <c r="S60" s="18"/>
      <c r="T60" s="16"/>
      <c r="U60" s="16"/>
    </row>
    <row r="61" spans="12:21">
      <c r="M61" s="21">
        <v>0.2</v>
      </c>
      <c r="N61" s="20">
        <v>0.4573838650411709</v>
      </c>
      <c r="O61" s="20">
        <v>0.11420000000000002</v>
      </c>
      <c r="S61" s="18"/>
      <c r="T61" s="16"/>
      <c r="U61" s="16"/>
    </row>
    <row r="62" spans="12:21">
      <c r="M62" s="21">
        <v>0.25</v>
      </c>
      <c r="N62" s="20">
        <v>0.44708779898360013</v>
      </c>
      <c r="O62" s="20">
        <v>0.11275000000000002</v>
      </c>
      <c r="S62" s="18"/>
      <c r="T62" s="16"/>
      <c r="U62" s="16"/>
    </row>
    <row r="63" spans="12:21">
      <c r="M63" s="21">
        <v>0.3</v>
      </c>
      <c r="N63" s="20">
        <v>0.43748142817724278</v>
      </c>
      <c r="O63" s="20">
        <v>0.11130000000000001</v>
      </c>
      <c r="S63" s="18"/>
      <c r="T63" s="16"/>
      <c r="U63" s="16"/>
    </row>
    <row r="64" spans="12:21">
      <c r="M64" s="21">
        <v>0.35</v>
      </c>
      <c r="N64" s="20">
        <v>0.42861112911355909</v>
      </c>
      <c r="O64" s="20">
        <v>0.10985000000000002</v>
      </c>
      <c r="S64" s="18"/>
      <c r="T64" s="16"/>
      <c r="U64" s="16"/>
    </row>
    <row r="65" spans="12:21">
      <c r="M65" s="21">
        <v>0.4</v>
      </c>
      <c r="N65" s="20">
        <v>0.42052348329195605</v>
      </c>
      <c r="O65" s="20">
        <v>0.10840000000000002</v>
      </c>
      <c r="S65" s="18"/>
      <c r="T65" s="16"/>
      <c r="U65" s="16"/>
    </row>
    <row r="66" spans="12:21">
      <c r="M66" s="21">
        <v>0.45</v>
      </c>
      <c r="N66" s="20">
        <v>0.41326444318378036</v>
      </c>
      <c r="O66" s="20">
        <v>0.10695000000000002</v>
      </c>
      <c r="S66" s="18"/>
      <c r="T66" s="16"/>
      <c r="U66" s="16"/>
    </row>
    <row r="67" spans="12:21">
      <c r="M67" s="21">
        <v>0.5</v>
      </c>
      <c r="N67" s="20">
        <v>0.40687836020117857</v>
      </c>
      <c r="O67" s="20">
        <v>0.10550000000000001</v>
      </c>
      <c r="S67" s="18"/>
      <c r="T67" s="16"/>
      <c r="U67" s="16"/>
    </row>
    <row r="68" spans="12:21">
      <c r="M68" s="21">
        <v>0.55000000000000004</v>
      </c>
      <c r="N68" s="20">
        <v>0.40140690078771696</v>
      </c>
      <c r="O68" s="20">
        <v>0.10405</v>
      </c>
      <c r="S68" s="18"/>
      <c r="T68" s="16"/>
      <c r="U68" s="16"/>
    </row>
    <row r="69" spans="12:21">
      <c r="M69" s="21">
        <v>0.6</v>
      </c>
      <c r="N69" s="20">
        <v>0.39688789349134856</v>
      </c>
      <c r="O69" s="20">
        <v>0.10260000000000001</v>
      </c>
      <c r="S69" s="18"/>
      <c r="T69" s="16"/>
      <c r="U69" s="16"/>
    </row>
    <row r="70" spans="12:21">
      <c r="M70" s="21">
        <v>0.65</v>
      </c>
      <c r="N70" s="20">
        <v>0.39335416611496571</v>
      </c>
      <c r="O70" s="20">
        <v>0.10115000000000002</v>
      </c>
      <c r="S70" s="18"/>
      <c r="T70" s="16"/>
      <c r="U70" s="16"/>
    </row>
    <row r="71" spans="12:21">
      <c r="M71" s="21">
        <v>0.7</v>
      </c>
      <c r="N71" s="20">
        <v>0.39083244491725611</v>
      </c>
      <c r="O71" s="20">
        <v>9.9700000000000011E-2</v>
      </c>
      <c r="S71" s="18"/>
      <c r="T71" s="16"/>
      <c r="U71" s="16"/>
    </row>
    <row r="72" spans="12:21">
      <c r="M72" s="21">
        <v>0.75</v>
      </c>
      <c r="N72" s="20">
        <v>0.38934239430095463</v>
      </c>
      <c r="O72" s="20">
        <v>9.8250000000000004E-2</v>
      </c>
      <c r="S72" s="18"/>
      <c r="T72" s="16"/>
      <c r="U72" s="16"/>
    </row>
    <row r="73" spans="12:21">
      <c r="M73" s="21">
        <v>0.8</v>
      </c>
      <c r="N73" s="20">
        <v>0.38889587295315958</v>
      </c>
      <c r="O73" s="20">
        <v>9.6800000000000011E-2</v>
      </c>
      <c r="S73" s="18"/>
      <c r="T73" s="16"/>
      <c r="U73" s="16"/>
    </row>
    <row r="74" spans="12:21">
      <c r="M74" s="21">
        <v>0.85</v>
      </c>
      <c r="N74" s="20">
        <v>0.38949646981712172</v>
      </c>
      <c r="O74" s="20">
        <v>9.5350000000000004E-2</v>
      </c>
      <c r="S74" s="18"/>
      <c r="T74" s="16"/>
      <c r="U74" s="16"/>
    </row>
    <row r="75" spans="12:21">
      <c r="M75" s="21">
        <v>0.9</v>
      </c>
      <c r="N75" s="20">
        <v>0.39113936135346955</v>
      </c>
      <c r="O75" s="20">
        <v>9.3900000000000011E-2</v>
      </c>
      <c r="S75" s="18"/>
      <c r="T75" s="16"/>
      <c r="U75" s="16"/>
    </row>
    <row r="76" spans="12:21">
      <c r="M76" s="21">
        <v>0.95</v>
      </c>
      <c r="N76" s="20">
        <v>0.39381150313316149</v>
      </c>
      <c r="O76" s="20">
        <v>9.2450000000000018E-2</v>
      </c>
      <c r="S76" s="18"/>
      <c r="T76" s="16"/>
      <c r="U76" s="16"/>
    </row>
    <row r="77" spans="12:21">
      <c r="M77" s="21">
        <v>1</v>
      </c>
      <c r="N77" s="20">
        <v>0.39749213828703583</v>
      </c>
      <c r="O77" s="20">
        <v>9.1000000000000011E-2</v>
      </c>
      <c r="S77" s="18"/>
      <c r="T77" s="16"/>
      <c r="U77" s="16"/>
    </row>
    <row r="80" spans="12:21">
      <c r="L80" s="7"/>
      <c r="M80" t="s">
        <v>60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00829-5852-47CB-8A2D-E9FDFED7ABFF}">
  <sheetPr codeName="Sheet5"/>
  <dimension ref="BB18:DF56"/>
  <sheetViews>
    <sheetView zoomScale="50" zoomScaleNormal="50" workbookViewId="0"/>
  </sheetViews>
  <sheetFormatPr baseColWidth="10" defaultColWidth="8.83203125" defaultRowHeight="15"/>
  <sheetData>
    <row r="18" spans="54:57">
      <c r="BB18" s="44">
        <v>45147.651331018518</v>
      </c>
    </row>
    <row r="20" spans="54:57">
      <c r="BE20" t="s">
        <v>71</v>
      </c>
    </row>
    <row r="56" spans="110:110">
      <c r="DF56" t="s">
        <v>69</v>
      </c>
    </row>
  </sheetData>
  <sheetProtection algorithmName="SHA-512" hashValue="xwKczHaAPwcIos9jSPlbaVM8k9aRExsDLmUNlRjOjsFHnY/Sf1hKFj24jRrFRJPFPCG8sXxZ7BwEu7Qog+Enhg==" saltValue="lkEPlmykr2YBt+4WVCudS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Name</vt:lpstr>
      <vt:lpstr>Set 1 - Task 1</vt:lpstr>
      <vt:lpstr>Set 2 - Task 1</vt:lpstr>
      <vt:lpstr>Set 3 - Task 1</vt:lpstr>
      <vt:lpstr>Task 2</vt:lpstr>
      <vt:lpstr>df_1</vt:lpstr>
      <vt:lpstr>df_2</vt:lpstr>
      <vt:lpstr>df_3</vt:lpstr>
      <vt:lpstr>df_4</vt:lpstr>
      <vt:lpstr>Stock_Dates</vt:lpstr>
      <vt:lpstr>Stock1</vt:lpstr>
      <vt:lpstr>Stock2</vt:lpstr>
      <vt:lpstr>Stock3</vt:lpstr>
      <vt:lpstr>Stock4</vt:lpstr>
      <vt:lpstr>Stock5</vt:lpstr>
      <vt:lpstr>Stock6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Mikhail Bhatia</dc:creator>
  <cp:lastModifiedBy>Grant Fullston</cp:lastModifiedBy>
  <dcterms:created xsi:type="dcterms:W3CDTF">2015-02-26T20:52:53Z</dcterms:created>
  <dcterms:modified xsi:type="dcterms:W3CDTF">2023-08-09T06:23:05Z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FC3540A">
    <vt:lpwstr>2019Semester2</vt:lpwstr>
  </property>
  <property fmtid="{D5CDD505-2E9C-101B-9397-08002B2CF9AE}" pid="3" name="BFC3540B">
    <vt:lpwstr>ÍÏÎÇ¬Î|¼</vt:lpwstr>
  </property>
  <property fmtid="{D5CDD505-2E9C-101B-9397-08002B2CF9AE}" pid="4" name="BFC3540C">
    <vt:lpwstr>ÍÏÎÇ¬Î|½¹¼ÌÊËÏ «¯</vt:lpwstr>
  </property>
  <property fmtid="{D5CDD505-2E9C-101B-9397-08002B2CF9AE}" pid="5" name="BFC3540D">
    <vt:lpwstr>ÍÏÎÇ¬Î|</vt:lpwstr>
  </property>
  <property fmtid="{D5CDD505-2E9C-101B-9397-08002B2CF9AE}" pid="6" name="BFC3540E">
    <vt:lpwstr>ÍÏÎÇ¬Î|</vt:lpwstr>
  </property>
  <property fmtid="{D5CDD505-2E9C-101B-9397-08002B2CF9AE}" pid="7" name="BFC3540F">
    <vt:lpwstr>181440</vt:lpwstr>
  </property>
</Properties>
</file>