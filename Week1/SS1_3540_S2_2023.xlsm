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Financial Modelling/Week1/"/>
    </mc:Choice>
  </mc:AlternateContent>
  <xr:revisionPtr revIDLastSave="0" documentId="13_ncr:1_{112DD8B0-2FF3-804B-8C79-89FDB6855EC2}" xr6:coauthVersionLast="47" xr6:coauthVersionMax="47" xr10:uidLastSave="{00000000-0000-0000-0000-000000000000}"/>
  <bookViews>
    <workbookView xWindow="0" yWindow="500" windowWidth="28800" windowHeight="17500" activeTab="13" xr2:uid="{00000000-000D-0000-FFFF-FFFF00000000}"/>
  </bookViews>
  <sheets>
    <sheet name="Name" sheetId="1" r:id="rId1"/>
    <sheet name="Set 1 - Task 1" sheetId="3" r:id="rId2"/>
    <sheet name="Set 2 - Task 1" sheetId="4" state="hidden" r:id="rId3"/>
    <sheet name="Set 3 - Task 1" sheetId="13" state="hidden" r:id="rId4"/>
    <sheet name="Set 1 - Task 2" sheetId="5" r:id="rId5"/>
    <sheet name="Set 2 - Task 2" sheetId="6" state="hidden" r:id="rId6"/>
    <sheet name="Set 3 - Task 2" sheetId="14" state="hidden" r:id="rId7"/>
    <sheet name="Set 1 - Task 3" sheetId="7" r:id="rId8"/>
    <sheet name="Set 2 - Task 3" sheetId="8" state="hidden" r:id="rId9"/>
    <sheet name="Set 3 - Task 3" sheetId="15" state="hidden" r:id="rId10"/>
    <sheet name="Set 1 - Task 4" sheetId="9" r:id="rId11"/>
    <sheet name="Set 2 - Task 4" sheetId="16" state="hidden" r:id="rId12"/>
    <sheet name="Set 3 - Task 4" sheetId="17" state="hidden" r:id="rId13"/>
    <sheet name="Task 5" sheetId="11" r:id="rId14"/>
    <sheet name="other" sheetId="19" state="veryHidden" r:id="rId15"/>
  </sheets>
  <definedNames>
    <definedName name="â" hidden="1">other!$BQ$14</definedName>
    <definedName name="CustomVariablesStoredValue">#REF!</definedName>
    <definedName name="CustomVariablesValue">#REF!</definedName>
    <definedName name="df_1">'Set 1 - Task 1'!$Q$35:$R$46,'Set 1 - Task 1'!$U$35:$V$46,'Set 1 - Task 1'!$Y$35:$AA$46</definedName>
    <definedName name="df_10">'Set 1 - Task 4'!$P$30:$V$39</definedName>
    <definedName name="df_11">'Set 2 - Task 4'!$M$27:$S$35</definedName>
    <definedName name="df_12">'Set 3 - Task 4'!$J$24:$O$30</definedName>
    <definedName name="df_13">'Task 5'!$D$29,'Task 5'!$D$45:$E$55,'Task 5'!$H$45:$I$55,'Task 5'!$L$45:$M$55,'Task 5'!$D$68:$I$74,'Task 5'!$D$78:$I$84,'Task 5'!$D$88:$I$95</definedName>
    <definedName name="df_2">'Set 2 - Task 1'!$N$32:$O$44,'Set 2 - Task 1'!$R$32:$T$43,'Set 2 - Task 1'!$V$32:$X$43</definedName>
    <definedName name="df_3">'Set 3 - Task 1'!$O$29:$P$40,'Set 3 - Task 1'!$S$29:$U$39,'Set 3 - Task 1'!$K$29:$M$41</definedName>
    <definedName name="df_4">'Set 1 - Task 2'!$C$35:$M$37,'Set 1 - Task 2'!$C$41:$F$54</definedName>
    <definedName name="df_5">'Set 2 - Task 2'!$T$32:$AD$34,'Set 2 - Task 2'!$T$38:$V$51</definedName>
    <definedName name="df_6">'Set 3 - Task 2'!$Q$35:$S$46,'Set 3 - Task 2'!$Q$29:$Z$31</definedName>
    <definedName name="df_7">'Set 1 - Task 3'!$I$28:$J$39,'Set 1 - Task 3'!$I$21,'Set 1 - Task 3'!$I$18</definedName>
    <definedName name="df_8">'Set 2 - Task 3'!$F$35,'Set 2 - Task 3'!$F$38,'Set 2 - Task 3'!$F$45:$G$57</definedName>
    <definedName name="df_9">'Set 3 - Task 3'!$C$32,'Set 3 - Task 3'!$C$35,'Set 3 - Task 3'!$C$42:$D$54</definedName>
    <definedName name="è" hidden="1">other!$DZ$52</definedName>
    <definedName name="î" hidden="1">other!$CQ$16</definedName>
    <definedName name="ö" hidden="1">other!$DQ$22</definedName>
    <definedName name="Portfolio_Mean1">'Set 1 - Task 3'!$I$21</definedName>
    <definedName name="Portfolio_Mean2">'Set 2 - Task 3'!$F$38</definedName>
    <definedName name="Portfolio_Mean3">'Set 3 - Task 3'!$C$35</definedName>
    <definedName name="Range1" hidden="1">other!$BR$14</definedName>
    <definedName name="Range2" hidden="1">other!$BU$16</definedName>
    <definedName name="Range3" hidden="1">other!$DH$22</definedName>
    <definedName name="Range4" hidden="1">other!$DV$52</definedName>
    <definedName name="Stock_Dates">'Set 1 - Task 1'!$P$15:$P$24</definedName>
    <definedName name="Stock1">'Set 1 - Task 1'!$Q$14</definedName>
    <definedName name="Stock1_Data">'Set 1 - Task 1'!$Q$15:$Q$24</definedName>
    <definedName name="Stock1_Proportion">'Set 1 - Task 3'!$I$15</definedName>
    <definedName name="Stock2">'Set 1 - Task 1'!$R$14</definedName>
    <definedName name="Stock2_Data">'Set 1 - Task 1'!$R$15:$R$24</definedName>
    <definedName name="Stock3">'Set 2 - Task 1'!$N$11</definedName>
    <definedName name="Stock3_Data">'Set 2 - Task 1'!$N$12:$N$21</definedName>
    <definedName name="Stock3_Proportion">'Set 2 - Task 3'!$F$32</definedName>
    <definedName name="Stock4">'Set 2 - Task 1'!$O$11</definedName>
    <definedName name="Stock4_Data">'Set 2 - Task 1'!$O$12:$O$21</definedName>
    <definedName name="Stock5">'Set 3 - Task 1'!$K$8</definedName>
    <definedName name="Stock5_Data">'Set 3 - Task 1'!$K$9:$K$18</definedName>
    <definedName name="Stock5_Proportion">'Set 3 - Task 3'!$C$29</definedName>
    <definedName name="Stock6">'Set 3 - Task 1'!$L$8</definedName>
    <definedName name="Stock6_Data">'Set 3 - Task 1'!$L$9:$L$18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9" i="11" l="1"/>
  <c r="D44" i="11" s="1"/>
  <c r="O29" i="9"/>
  <c r="C41" i="5" a="1"/>
  <c r="D50" i="5" s="1"/>
  <c r="R22" i="9"/>
  <c r="I18" i="7"/>
  <c r="I21" i="7" s="1"/>
  <c r="I27" i="7" s="1"/>
  <c r="C35" i="5" a="1"/>
  <c r="L36" i="5" s="1"/>
  <c r="R44" i="3"/>
  <c r="R43" i="3"/>
  <c r="R42" i="3"/>
  <c r="R41" i="3"/>
  <c r="R40" i="3"/>
  <c r="R39" i="3"/>
  <c r="R38" i="3"/>
  <c r="R37" i="3"/>
  <c r="R36" i="3"/>
  <c r="R35" i="3"/>
  <c r="Q44" i="3"/>
  <c r="Q43" i="3"/>
  <c r="Q42" i="3"/>
  <c r="Q41" i="3"/>
  <c r="Q40" i="3"/>
  <c r="Q39" i="3"/>
  <c r="Q38" i="3"/>
  <c r="Q37" i="3"/>
  <c r="Q36" i="3"/>
  <c r="Q35" i="3"/>
  <c r="V36" i="3"/>
  <c r="V37" i="3"/>
  <c r="V38" i="3"/>
  <c r="V39" i="3"/>
  <c r="V40" i="3"/>
  <c r="V41" i="3"/>
  <c r="V42" i="3"/>
  <c r="V43" i="3"/>
  <c r="V44" i="3"/>
  <c r="V35" i="3"/>
  <c r="U36" i="3"/>
  <c r="U37" i="3"/>
  <c r="U38" i="3"/>
  <c r="U39" i="3"/>
  <c r="U40" i="3"/>
  <c r="U41" i="3"/>
  <c r="U42" i="3"/>
  <c r="U43" i="3"/>
  <c r="U44" i="3"/>
  <c r="U35" i="3"/>
  <c r="Z38" i="3"/>
  <c r="Z35" i="3"/>
  <c r="Z36" i="3"/>
  <c r="Z37" i="3"/>
  <c r="Z39" i="3"/>
  <c r="Z40" i="3"/>
  <c r="Z41" i="3"/>
  <c r="Z42" i="3"/>
  <c r="Z43" i="3"/>
  <c r="Z44" i="3"/>
  <c r="Y36" i="3"/>
  <c r="Y37" i="3"/>
  <c r="Y38" i="3"/>
  <c r="Y39" i="3"/>
  <c r="Y40" i="3"/>
  <c r="Y41" i="3"/>
  <c r="Y42" i="3"/>
  <c r="Y43" i="3"/>
  <c r="Y44" i="3"/>
  <c r="Y35" i="3"/>
  <c r="L20" i="13"/>
  <c r="D23" i="15"/>
  <c r="D21" i="15"/>
  <c r="K28" i="13"/>
  <c r="G27" i="8"/>
  <c r="F26" i="8"/>
  <c r="S33" i="6"/>
  <c r="E32" i="8"/>
  <c r="C34" i="5" a="1"/>
  <c r="I34" i="5" s="1"/>
  <c r="P15" i="14" a="1"/>
  <c r="C21" i="5" a="1"/>
  <c r="B41" i="5" a="1"/>
  <c r="B45" i="5" s="1"/>
  <c r="Z34" i="3"/>
  <c r="H15" i="7"/>
  <c r="B41" i="15"/>
  <c r="B39" i="15"/>
  <c r="C24" i="15"/>
  <c r="C23" i="15"/>
  <c r="C21" i="15"/>
  <c r="E44" i="8"/>
  <c r="E34" i="8"/>
  <c r="G24" i="8"/>
  <c r="F24" i="8"/>
  <c r="H27" i="7"/>
  <c r="J7" i="7"/>
  <c r="Q34" i="14"/>
  <c r="P29" i="14"/>
  <c r="R15" i="14" a="1"/>
  <c r="R19" i="14" s="1"/>
  <c r="Q15" i="14" a="1"/>
  <c r="Q21" i="14" s="1"/>
  <c r="P35" i="14" a="1"/>
  <c r="P43" i="14" s="1"/>
  <c r="T37" i="6"/>
  <c r="T18" i="6" a="1"/>
  <c r="T24" i="6" s="1"/>
  <c r="S18" i="6" a="1"/>
  <c r="S22" i="6" s="1"/>
  <c r="B36" i="5"/>
  <c r="R29" i="13" a="1"/>
  <c r="N29" i="13" a="1"/>
  <c r="N32" i="13" s="1"/>
  <c r="S28" i="13"/>
  <c r="P28" i="13"/>
  <c r="O28" i="13"/>
  <c r="K20" i="13"/>
  <c r="J9" i="13" a="1"/>
  <c r="J13" i="13" s="1"/>
  <c r="W31" i="4"/>
  <c r="V31" i="4"/>
  <c r="O31" i="4"/>
  <c r="N31" i="4"/>
  <c r="M12" i="4" a="1"/>
  <c r="M18" i="4" s="1"/>
  <c r="X35" i="3" a="1"/>
  <c r="X40" i="3" s="1"/>
  <c r="J6" i="13"/>
  <c r="Q14" i="14"/>
  <c r="U17" i="6"/>
  <c r="T17" i="6"/>
  <c r="D20" i="5"/>
  <c r="C49" i="5" l="1"/>
  <c r="D41" i="5"/>
  <c r="D43" i="5"/>
  <c r="D45" i="5"/>
  <c r="D47" i="5"/>
  <c r="D49" i="5"/>
  <c r="C45" i="5"/>
  <c r="C42" i="5"/>
  <c r="C44" i="5"/>
  <c r="C46" i="5"/>
  <c r="C48" i="5"/>
  <c r="C50" i="5"/>
  <c r="C43" i="5"/>
  <c r="C47" i="5"/>
  <c r="C41" i="5"/>
  <c r="D42" i="5"/>
  <c r="D44" i="5"/>
  <c r="D46" i="5"/>
  <c r="D48" i="5"/>
  <c r="G35" i="5"/>
  <c r="K35" i="5"/>
  <c r="E36" i="5"/>
  <c r="I36" i="5"/>
  <c r="D35" i="5"/>
  <c r="H35" i="5"/>
  <c r="L35" i="5"/>
  <c r="F36" i="5"/>
  <c r="J36" i="5"/>
  <c r="E35" i="5"/>
  <c r="I35" i="5"/>
  <c r="C36" i="5"/>
  <c r="G36" i="5"/>
  <c r="K36" i="5"/>
  <c r="C35" i="5"/>
  <c r="F35" i="5"/>
  <c r="J35" i="5"/>
  <c r="D36" i="5"/>
  <c r="H36" i="5"/>
  <c r="M32" i="4" a="1"/>
  <c r="M35" i="4" s="1"/>
  <c r="B21" i="5" a="1"/>
  <c r="B26" i="5" s="1"/>
  <c r="J8" i="7"/>
  <c r="U18" i="6" a="1"/>
  <c r="U23" i="6" s="1"/>
  <c r="B31" i="15"/>
  <c r="Q32" i="4" a="1"/>
  <c r="Q40" i="4" s="1"/>
  <c r="P30" i="14"/>
  <c r="O23" i="4"/>
  <c r="R14" i="14"/>
  <c r="U32" i="4" a="1"/>
  <c r="U35" i="4" s="1"/>
  <c r="D21" i="5" a="1"/>
  <c r="D30" i="5" s="1"/>
  <c r="S38" i="6" a="1"/>
  <c r="S43" i="6" s="1"/>
  <c r="I10" i="7"/>
  <c r="C22" i="15"/>
  <c r="P35" i="3" a="1"/>
  <c r="P41" i="3" s="1"/>
  <c r="B19" i="15"/>
  <c r="T31" i="6" a="1"/>
  <c r="Y31" i="6" s="1"/>
  <c r="R26" i="3"/>
  <c r="T35" i="3" a="1"/>
  <c r="T40" i="3" s="1"/>
  <c r="J29" i="13" a="1"/>
  <c r="J32" i="13" s="1"/>
  <c r="P12" i="14"/>
  <c r="V34" i="3"/>
  <c r="G26" i="8"/>
  <c r="Y34" i="3"/>
  <c r="R34" i="3"/>
  <c r="I8" i="7"/>
  <c r="D40" i="5"/>
  <c r="P20" i="14"/>
  <c r="J9" i="7"/>
  <c r="C20" i="5"/>
  <c r="Q34" i="3"/>
  <c r="M9" i="4"/>
  <c r="R31" i="4"/>
  <c r="R34" i="14"/>
  <c r="H17" i="7"/>
  <c r="F27" i="8"/>
  <c r="E42" i="8"/>
  <c r="B27" i="15"/>
  <c r="I9" i="7"/>
  <c r="G25" i="8"/>
  <c r="Q26" i="3"/>
  <c r="H5" i="7"/>
  <c r="H25" i="7"/>
  <c r="L28" i="13"/>
  <c r="B18" i="5"/>
  <c r="J10" i="7"/>
  <c r="D24" i="15"/>
  <c r="F25" i="8"/>
  <c r="Q28" i="14" a="1"/>
  <c r="W28" i="14" s="1"/>
  <c r="D22" i="15"/>
  <c r="E22" i="8"/>
  <c r="E30" i="8"/>
  <c r="T28" i="13"/>
  <c r="B35" i="5"/>
  <c r="S32" i="6"/>
  <c r="H13" i="7"/>
  <c r="N23" i="4"/>
  <c r="B29" i="15"/>
  <c r="P12" i="3"/>
  <c r="C27" i="5"/>
  <c r="S15" i="6"/>
  <c r="U37" i="6"/>
  <c r="U34" i="3"/>
  <c r="S31" i="4"/>
  <c r="R34" i="13"/>
  <c r="C40" i="5"/>
  <c r="I7" i="7"/>
  <c r="R23" i="14"/>
  <c r="R15" i="14"/>
  <c r="R22" i="14"/>
  <c r="R24" i="14"/>
  <c r="R16" i="14"/>
  <c r="R20" i="14"/>
  <c r="R21" i="14"/>
  <c r="R17" i="14"/>
  <c r="R18" i="14"/>
  <c r="Q23" i="14"/>
  <c r="Q15" i="14"/>
  <c r="Q24" i="14"/>
  <c r="Q16" i="14"/>
  <c r="Q17" i="14"/>
  <c r="Q18" i="14"/>
  <c r="Q19" i="14"/>
  <c r="Q20" i="14"/>
  <c r="Q22" i="14"/>
  <c r="P15" i="14"/>
  <c r="P23" i="14"/>
  <c r="P19" i="14"/>
  <c r="P18" i="14"/>
  <c r="P17" i="14"/>
  <c r="P16" i="14"/>
  <c r="P24" i="14"/>
  <c r="P22" i="14"/>
  <c r="P21" i="14"/>
  <c r="P42" i="14"/>
  <c r="P41" i="14"/>
  <c r="P40" i="14"/>
  <c r="P39" i="14"/>
  <c r="P38" i="14"/>
  <c r="P37" i="14"/>
  <c r="P36" i="14"/>
  <c r="P44" i="14"/>
  <c r="P35" i="14"/>
  <c r="T27" i="6"/>
  <c r="T25" i="6"/>
  <c r="T19" i="6"/>
  <c r="T20" i="6"/>
  <c r="T21" i="6"/>
  <c r="T22" i="6"/>
  <c r="T26" i="6"/>
  <c r="T23" i="6"/>
  <c r="T18" i="6"/>
  <c r="S26" i="6"/>
  <c r="S18" i="6"/>
  <c r="S20" i="6"/>
  <c r="S23" i="6"/>
  <c r="S24" i="6"/>
  <c r="S25" i="6"/>
  <c r="S27" i="6"/>
  <c r="S19" i="6"/>
  <c r="S21" i="6"/>
  <c r="B46" i="5"/>
  <c r="B47" i="5"/>
  <c r="B48" i="5"/>
  <c r="B49" i="5"/>
  <c r="B41" i="5"/>
  <c r="B50" i="5"/>
  <c r="B42" i="5"/>
  <c r="B43" i="5"/>
  <c r="B44" i="5"/>
  <c r="C34" i="5"/>
  <c r="L34" i="5"/>
  <c r="D34" i="5"/>
  <c r="E34" i="5"/>
  <c r="F34" i="5"/>
  <c r="K34" i="5"/>
  <c r="G34" i="5"/>
  <c r="J34" i="5"/>
  <c r="H34" i="5"/>
  <c r="D24" i="5"/>
  <c r="C28" i="5"/>
  <c r="C30" i="5"/>
  <c r="C22" i="5"/>
  <c r="C21" i="5"/>
  <c r="C23" i="5"/>
  <c r="C24" i="5"/>
  <c r="C29" i="5"/>
  <c r="C25" i="5"/>
  <c r="C26" i="5"/>
  <c r="R29" i="13"/>
  <c r="R37" i="13"/>
  <c r="R33" i="13"/>
  <c r="R32" i="13"/>
  <c r="R31" i="13"/>
  <c r="R30" i="13"/>
  <c r="R38" i="13"/>
  <c r="R36" i="13"/>
  <c r="R35" i="13"/>
  <c r="N30" i="13"/>
  <c r="N38" i="13"/>
  <c r="N36" i="13"/>
  <c r="N31" i="13"/>
  <c r="N37" i="13"/>
  <c r="N35" i="13"/>
  <c r="N34" i="13"/>
  <c r="N29" i="13"/>
  <c r="N33" i="13"/>
  <c r="J17" i="13"/>
  <c r="J9" i="13"/>
  <c r="J18" i="13"/>
  <c r="J10" i="13"/>
  <c r="J14" i="13"/>
  <c r="J15" i="13"/>
  <c r="J16" i="13"/>
  <c r="J11" i="13"/>
  <c r="J12" i="13"/>
  <c r="U38" i="4"/>
  <c r="Q41" i="4"/>
  <c r="M33" i="4"/>
  <c r="M37" i="4"/>
  <c r="M34" i="4"/>
  <c r="M41" i="4"/>
  <c r="M40" i="4"/>
  <c r="M19" i="4"/>
  <c r="M12" i="4"/>
  <c r="M14" i="4"/>
  <c r="M15" i="4"/>
  <c r="M16" i="4"/>
  <c r="M21" i="4"/>
  <c r="M17" i="4"/>
  <c r="M20" i="4"/>
  <c r="M13" i="4"/>
  <c r="X41" i="3"/>
  <c r="X42" i="3"/>
  <c r="X35" i="3"/>
  <c r="X37" i="3"/>
  <c r="X38" i="3"/>
  <c r="X43" i="3"/>
  <c r="X44" i="3"/>
  <c r="X36" i="3"/>
  <c r="X39" i="3"/>
  <c r="T43" i="3"/>
  <c r="T35" i="3"/>
  <c r="T44" i="3"/>
  <c r="T37" i="3"/>
  <c r="T39" i="3"/>
  <c r="P35" i="3"/>
  <c r="P43" i="3"/>
  <c r="P44" i="3"/>
  <c r="P37" i="3"/>
  <c r="P42" i="3"/>
  <c r="P38" i="3"/>
  <c r="P40" i="3"/>
  <c r="L16" i="17"/>
  <c r="L15" i="17"/>
  <c r="L14" i="17"/>
  <c r="L13" i="17"/>
  <c r="L12" i="17"/>
  <c r="L11" i="17"/>
  <c r="L10" i="17"/>
  <c r="L9" i="17"/>
  <c r="L8" i="17"/>
  <c r="L7" i="17"/>
  <c r="M7" i="17" s="1"/>
  <c r="H44" i="11"/>
  <c r="K44" i="11"/>
  <c r="L44" i="11"/>
  <c r="C67" i="11"/>
  <c r="C77" i="11"/>
  <c r="C87" i="11"/>
  <c r="O19" i="16"/>
  <c r="O18" i="16"/>
  <c r="O17" i="16"/>
  <c r="O16" i="16"/>
  <c r="O15" i="16"/>
  <c r="O14" i="16"/>
  <c r="O13" i="16"/>
  <c r="O12" i="16"/>
  <c r="O11" i="16"/>
  <c r="O10" i="16"/>
  <c r="R21" i="9"/>
  <c r="R20" i="9"/>
  <c r="R19" i="9"/>
  <c r="R18" i="9"/>
  <c r="R17" i="9"/>
  <c r="R16" i="9"/>
  <c r="R15" i="9"/>
  <c r="R14" i="9"/>
  <c r="R13" i="9"/>
  <c r="B18" i="15"/>
  <c r="E21" i="8"/>
  <c r="H4" i="7"/>
  <c r="S22" i="9" l="1"/>
  <c r="S14" i="9"/>
  <c r="S13" i="9"/>
  <c r="D26" i="5"/>
  <c r="B30" i="5"/>
  <c r="B27" i="5"/>
  <c r="D27" i="5"/>
  <c r="D23" i="5"/>
  <c r="D22" i="5"/>
  <c r="D29" i="5"/>
  <c r="U39" i="4"/>
  <c r="S42" i="6"/>
  <c r="S40" i="6"/>
  <c r="S41" i="6"/>
  <c r="U41" i="4"/>
  <c r="U34" i="4"/>
  <c r="B29" i="5"/>
  <c r="U36" i="4"/>
  <c r="U37" i="4"/>
  <c r="B22" i="5"/>
  <c r="U32" i="4"/>
  <c r="U40" i="4"/>
  <c r="B25" i="5"/>
  <c r="P39" i="3"/>
  <c r="P36" i="3"/>
  <c r="T36" i="3"/>
  <c r="T41" i="3"/>
  <c r="D28" i="5"/>
  <c r="D21" i="5"/>
  <c r="F44" i="8"/>
  <c r="J35" i="13"/>
  <c r="J36" i="13"/>
  <c r="U33" i="4"/>
  <c r="J29" i="13"/>
  <c r="J38" i="13"/>
  <c r="M38" i="4"/>
  <c r="M36" i="4"/>
  <c r="B24" i="5"/>
  <c r="B28" i="5"/>
  <c r="D25" i="5"/>
  <c r="T38" i="3"/>
  <c r="M32" i="4"/>
  <c r="B23" i="5"/>
  <c r="T42" i="3"/>
  <c r="M39" i="4"/>
  <c r="B21" i="5"/>
  <c r="T31" i="6"/>
  <c r="AA31" i="6"/>
  <c r="V31" i="6"/>
  <c r="U31" i="6"/>
  <c r="X31" i="6"/>
  <c r="Z31" i="6"/>
  <c r="W31" i="6"/>
  <c r="AB31" i="6"/>
  <c r="AC31" i="6"/>
  <c r="C41" i="15"/>
  <c r="S18" i="9"/>
  <c r="S21" i="9"/>
  <c r="Q36" i="4"/>
  <c r="J33" i="13"/>
  <c r="U26" i="6"/>
  <c r="S47" i="6"/>
  <c r="M13" i="17"/>
  <c r="Q38" i="4"/>
  <c r="J37" i="13"/>
  <c r="U20" i="6"/>
  <c r="S39" i="6"/>
  <c r="U18" i="6"/>
  <c r="U25" i="6"/>
  <c r="Q35" i="4"/>
  <c r="J30" i="13"/>
  <c r="U24" i="6"/>
  <c r="S46" i="6"/>
  <c r="Q33" i="4"/>
  <c r="Q34" i="4"/>
  <c r="U19" i="6"/>
  <c r="Q37" i="4"/>
  <c r="J31" i="13"/>
  <c r="U22" i="6"/>
  <c r="S44" i="6"/>
  <c r="S38" i="6"/>
  <c r="S20" i="9"/>
  <c r="U27" i="6"/>
  <c r="S16" i="9"/>
  <c r="J34" i="13"/>
  <c r="M14" i="17"/>
  <c r="Q32" i="4"/>
  <c r="Q39" i="4"/>
  <c r="U21" i="6"/>
  <c r="S45" i="6"/>
  <c r="Q28" i="14"/>
  <c r="V28" i="14"/>
  <c r="R28" i="14"/>
  <c r="S28" i="14"/>
  <c r="T28" i="14"/>
  <c r="Y28" i="14"/>
  <c r="U28" i="14"/>
  <c r="X28" i="14"/>
  <c r="Z28" i="14"/>
  <c r="M10" i="17"/>
  <c r="M8" i="17"/>
  <c r="M16" i="17"/>
  <c r="I23" i="17" s="1"/>
  <c r="M12" i="17"/>
  <c r="P18" i="16"/>
  <c r="M9" i="17"/>
  <c r="M11" i="17"/>
  <c r="M15" i="17"/>
  <c r="P11" i="16"/>
  <c r="P13" i="16"/>
  <c r="P15" i="16"/>
  <c r="P17" i="16"/>
  <c r="P19" i="16"/>
  <c r="L26" i="16" s="1"/>
  <c r="P10" i="16"/>
  <c r="P12" i="16"/>
  <c r="P14" i="16"/>
  <c r="P16" i="16"/>
  <c r="S15" i="9"/>
  <c r="S17" i="9"/>
  <c r="S19" i="9"/>
</calcChain>
</file>

<file path=xl/sharedStrings.xml><?xml version="1.0" encoding="utf-8"?>
<sst xmlns="http://schemas.openxmlformats.org/spreadsheetml/2006/main" count="179" uniqueCount="82">
  <si>
    <t>Problem 1</t>
  </si>
  <si>
    <t>Mean Return</t>
  </si>
  <si>
    <t>Use each of the following referencing methods and make sure you get the correct results!</t>
  </si>
  <si>
    <t>(Note, the video for this task gives the wrong results to show what happens if you're not careful!)</t>
  </si>
  <si>
    <t>a) Relative Addressing</t>
  </si>
  <si>
    <t>b) Absolute Addressing</t>
  </si>
  <si>
    <t>c) Mixed Addressing</t>
  </si>
  <si>
    <t>Problem 2</t>
  </si>
  <si>
    <t>Transpose the above matrix to the blue cells below:</t>
  </si>
  <si>
    <t>Transpose the above matrix in the blue cells to the yellow cells below</t>
  </si>
  <si>
    <t>Mean</t>
  </si>
  <si>
    <t>Variance</t>
  </si>
  <si>
    <t>Std. dev</t>
  </si>
  <si>
    <t>Your task is to use a One Variable Data Table to find the expected return of</t>
  </si>
  <si>
    <t>Input Cell ---&gt;</t>
  </si>
  <si>
    <t>&lt;---Make sure you DO NOT enter a fixed number here</t>
  </si>
  <si>
    <r>
      <t xml:space="preserve">&lt;--- If this cell is not </t>
    </r>
    <r>
      <rPr>
        <b/>
        <i/>
        <sz val="11"/>
        <color theme="1"/>
        <rFont val="Calibri"/>
        <family val="2"/>
        <scheme val="minor"/>
      </rPr>
      <t>dynamic</t>
    </r>
    <r>
      <rPr>
        <b/>
        <sz val="11"/>
        <color theme="1"/>
        <rFont val="Calibri"/>
        <family val="2"/>
        <scheme val="minor"/>
      </rPr>
      <t xml:space="preserve"> your table will not work</t>
    </r>
  </si>
  <si>
    <t>Result Cell --&gt;</t>
  </si>
  <si>
    <t>Portfolio Mean</t>
  </si>
  <si>
    <t>&lt;---Make sure this cell is also dynamic</t>
  </si>
  <si>
    <t>One-Variable Data Table:</t>
  </si>
  <si>
    <t>Calculate the weekly 'excess returns' (e.g. the weekly return minus mean return) for each stock</t>
  </si>
  <si>
    <t>Dividend Valuation Model</t>
  </si>
  <si>
    <t>Assumptions:</t>
  </si>
  <si>
    <t>Calculations:</t>
  </si>
  <si>
    <t>Time, t is fixed</t>
  </si>
  <si>
    <t>Year</t>
  </si>
  <si>
    <r>
      <t>D</t>
    </r>
    <r>
      <rPr>
        <vertAlign val="subscript"/>
        <sz val="10"/>
        <rFont val="Arial"/>
        <family val="2"/>
      </rPr>
      <t>t</t>
    </r>
  </si>
  <si>
    <r>
      <t>P</t>
    </r>
    <r>
      <rPr>
        <vertAlign val="subscript"/>
        <sz val="10"/>
        <rFont val="Arial"/>
        <family val="2"/>
      </rPr>
      <t>o</t>
    </r>
  </si>
  <si>
    <t>Dividend, D</t>
  </si>
  <si>
    <t>Rate of return, k</t>
  </si>
  <si>
    <t>&lt;-- Price of share based on the above assumptions</t>
  </si>
  <si>
    <t>You are required to analyse the effects of two variables: dividend and rate of return, on the share price, Po</t>
  </si>
  <si>
    <t>Dividend of $8.10, $9.00, $10.00, $11.00 and $12.10</t>
  </si>
  <si>
    <t>This can be done using a two-variable data table. Create the two-variable data table in the yellow region provided</t>
  </si>
  <si>
    <r>
      <t>Assume you are trying to value a stock which is currently paying an annual dividend of $0.50 cents per share (D</t>
    </r>
    <r>
      <rPr>
        <vertAlign val="subscript"/>
        <sz val="12"/>
        <rFont val="Arial"/>
        <family val="2"/>
      </rPr>
      <t xml:space="preserve">0 </t>
    </r>
    <r>
      <rPr>
        <sz val="12"/>
        <rFont val="Arial"/>
        <family val="2"/>
      </rPr>
      <t>= $0.50)</t>
    </r>
  </si>
  <si>
    <t>These dividends are expected to grow at a constant rate of 5% p.a. in perpetuity, while the relevant discount rate for all future</t>
  </si>
  <si>
    <t>cashflows the firm pays, k, is 10% p.a.</t>
  </si>
  <si>
    <r>
      <t>D</t>
    </r>
    <r>
      <rPr>
        <vertAlign val="subscript"/>
        <sz val="12"/>
        <rFont val="Arial"/>
        <family val="2"/>
      </rPr>
      <t>0</t>
    </r>
  </si>
  <si>
    <t>g (% p.a.)</t>
  </si>
  <si>
    <t>k (% p.a.)</t>
  </si>
  <si>
    <t>Price ($)</t>
  </si>
  <si>
    <t>Once you have calculated the share price above, you are required to evaluate how sensitive the stock price is to changes in the:</t>
  </si>
  <si>
    <t>1)</t>
  </si>
  <si>
    <t>Growth rate (g)</t>
  </si>
  <si>
    <t>2)</t>
  </si>
  <si>
    <t>Discount rate (k)</t>
  </si>
  <si>
    <t>3)</t>
  </si>
  <si>
    <r>
      <t>Initial dividend (D</t>
    </r>
    <r>
      <rPr>
        <vertAlign val="subscript"/>
        <sz val="11"/>
        <rFont val="Arial"/>
        <family val="2"/>
      </rPr>
      <t>0</t>
    </r>
    <r>
      <rPr>
        <sz val="11"/>
        <rFont val="Arial"/>
        <family val="2"/>
      </rPr>
      <t>)</t>
    </r>
  </si>
  <si>
    <t>Hint: Use one dimensional data tables!</t>
  </si>
  <si>
    <t>Data table for sensitivity to growth rates:</t>
  </si>
  <si>
    <t>Data table for sensitivity to discount rates:</t>
  </si>
  <si>
    <t>Data table for sensitivity to initial dividend:</t>
  </si>
  <si>
    <t>Growth Rate (g)</t>
  </si>
  <si>
    <t>Discount Rate (k)</t>
  </si>
  <si>
    <r>
      <t>Initial Dividend (D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>)</t>
    </r>
  </si>
  <si>
    <t>Problem 3</t>
  </si>
  <si>
    <t>Finally, we will determine how the share price responds to changes in the following combination of inputs:</t>
  </si>
  <si>
    <t>Growth rate and interest rates</t>
  </si>
  <si>
    <t>Growth rate and initial dividend payment</t>
  </si>
  <si>
    <t>Interest rates and the initial dividend payment</t>
  </si>
  <si>
    <t>Hint: Use two dimensional data tables!</t>
  </si>
  <si>
    <t>Interest Rates (k)</t>
  </si>
  <si>
    <t>Growth Rate</t>
  </si>
  <si>
    <t>(g)</t>
  </si>
  <si>
    <t>Interest Rate</t>
  </si>
  <si>
    <t>(k)</t>
  </si>
  <si>
    <t>Rate of return of 5.42%, 5.70%, 6.00%, 6.30%, 6.62%</t>
  </si>
  <si>
    <t>Authcate:</t>
  </si>
  <si>
    <t>Name:</t>
  </si>
  <si>
    <t>File:</t>
  </si>
  <si>
    <t>Your first task is to calculate the current price of this stock in the yellow cell below:</t>
  </si>
  <si>
    <t>SS1</t>
  </si>
  <si>
    <t>XASX:GEM</t>
  </si>
  <si>
    <t>XASX:JIN</t>
  </si>
  <si>
    <t>XASX:ACL</t>
  </si>
  <si>
    <t>XASX:MVF</t>
  </si>
  <si>
    <t>XASX:BCB</t>
  </si>
  <si>
    <t>XASX:PLS</t>
  </si>
  <si>
    <t>5zmAzo4HwwhQxNctXsbgBxum85WwPWSgj1RSepjIbxLibP1BCAGyqyZon6BE4YqhO35U27OazF0kGhfDrCv0V0DqB8ZzSJESn4UFQtmLO0OVfS4FFDJlt2crq9EH7btkR69X5BRN2JnnJUjGeFi3Y3H9VBc</t>
  </si>
  <si>
    <t>Grant Fullston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</si>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</sst>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0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0"/>
      <color rgb="FFFF0000"/>
      <name val="Arial"/>
      <family val="2"/>
    </font>
    <font>
      <b/>
      <i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2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b/>
      <vertAlign val="subscript"/>
      <sz val="1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  <xf numFmtId="9" fontId="21" fillId="0" borderId="0" applyFont="0" applyFill="0" applyBorder="0" applyAlignment="0" applyProtection="0"/>
  </cellStyleXfs>
  <cellXfs count="56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14" fontId="16" fillId="0" borderId="0" xfId="0" applyNumberFormat="1" applyFont="1"/>
    <xf numFmtId="14" fontId="16" fillId="0" borderId="0" xfId="0" applyNumberFormat="1" applyFont="1" applyAlignment="1">
      <alignment horizontal="center"/>
    </xf>
    <xf numFmtId="0" fontId="19" fillId="0" borderId="0" xfId="0" applyFont="1"/>
    <xf numFmtId="14" fontId="0" fillId="0" borderId="0" xfId="0" applyNumberFormat="1"/>
    <xf numFmtId="0" fontId="20" fillId="0" borderId="0" xfId="0" applyFont="1"/>
    <xf numFmtId="10" fontId="0" fillId="0" borderId="0" xfId="0" applyNumberFormat="1" applyAlignment="1">
      <alignment horizontal="center"/>
    </xf>
    <xf numFmtId="10" fontId="0" fillId="34" borderId="0" xfId="0" applyNumberFormat="1" applyFill="1" applyAlignment="1">
      <alignment horizontal="center"/>
    </xf>
    <xf numFmtId="0" fontId="23" fillId="0" borderId="0" xfId="43" applyFont="1"/>
    <xf numFmtId="14" fontId="16" fillId="0" borderId="0" xfId="0" applyNumberFormat="1" applyFont="1" applyAlignment="1">
      <alignment horizontal="left"/>
    </xf>
    <xf numFmtId="0" fontId="16" fillId="0" borderId="0" xfId="0" quotePrefix="1" applyFont="1"/>
    <xf numFmtId="0" fontId="16" fillId="0" borderId="0" xfId="0" quotePrefix="1" applyFont="1" applyAlignment="1">
      <alignment horizontal="right"/>
    </xf>
    <xf numFmtId="0" fontId="0" fillId="34" borderId="0" xfId="0" applyFill="1" applyAlignment="1">
      <alignment horizontal="center"/>
    </xf>
    <xf numFmtId="0" fontId="0" fillId="0" borderId="0" xfId="0" applyProtection="1">
      <protection locked="0"/>
    </xf>
    <xf numFmtId="0" fontId="0" fillId="36" borderId="0" xfId="0" applyFill="1" applyProtection="1">
      <protection locked="0"/>
    </xf>
    <xf numFmtId="0" fontId="25" fillId="37" borderId="0" xfId="0" applyFont="1" applyFill="1" applyProtection="1">
      <protection locked="0"/>
    </xf>
    <xf numFmtId="0" fontId="25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38" borderId="0" xfId="0" applyNumberFormat="1" applyFill="1" applyProtection="1">
      <protection locked="0"/>
    </xf>
    <xf numFmtId="164" fontId="0" fillId="0" borderId="0" xfId="0" applyNumberFormat="1" applyProtection="1">
      <protection locked="0"/>
    </xf>
    <xf numFmtId="9" fontId="0" fillId="38" borderId="0" xfId="0" applyNumberFormat="1" applyFill="1" applyProtection="1">
      <protection locked="0"/>
    </xf>
    <xf numFmtId="164" fontId="25" fillId="38" borderId="0" xfId="0" applyNumberFormat="1" applyFont="1" applyFill="1" applyProtection="1">
      <protection locked="0"/>
    </xf>
    <xf numFmtId="2" fontId="0" fillId="0" borderId="0" xfId="0" applyNumberFormat="1" applyProtection="1">
      <protection locked="0"/>
    </xf>
    <xf numFmtId="2" fontId="25" fillId="0" borderId="0" xfId="0" applyNumberFormat="1" applyFont="1" applyProtection="1">
      <protection locked="0"/>
    </xf>
    <xf numFmtId="2" fontId="21" fillId="39" borderId="0" xfId="0" applyNumberFormat="1" applyFont="1" applyFill="1" applyAlignment="1" applyProtection="1">
      <alignment horizontal="center"/>
      <protection locked="0"/>
    </xf>
    <xf numFmtId="164" fontId="21" fillId="39" borderId="0" xfId="0" applyNumberFormat="1" applyFont="1" applyFill="1" applyAlignment="1" applyProtection="1">
      <alignment horizontal="center"/>
      <protection locked="0"/>
    </xf>
    <xf numFmtId="165" fontId="21" fillId="39" borderId="0" xfId="45" applyNumberFormat="1" applyFont="1" applyFill="1" applyBorder="1" applyAlignment="1" applyProtection="1">
      <alignment horizontal="center"/>
      <protection locked="0"/>
    </xf>
    <xf numFmtId="164" fontId="21" fillId="38" borderId="0" xfId="0" applyNumberFormat="1" applyFont="1" applyFill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centerContinuous"/>
      <protection locked="0"/>
    </xf>
    <xf numFmtId="10" fontId="0" fillId="0" borderId="0" xfId="0" applyNumberFormat="1" applyProtection="1">
      <protection locked="0"/>
    </xf>
    <xf numFmtId="0" fontId="27" fillId="37" borderId="0" xfId="0" applyFont="1" applyFill="1" applyProtection="1">
      <protection locked="0"/>
    </xf>
    <xf numFmtId="0" fontId="28" fillId="0" borderId="0" xfId="0" applyFont="1"/>
    <xf numFmtId="0" fontId="28" fillId="0" borderId="0" xfId="0" applyFont="1" applyProtection="1">
      <protection locked="0"/>
    </xf>
    <xf numFmtId="0" fontId="28" fillId="0" borderId="0" xfId="0" applyFont="1" applyAlignment="1">
      <alignment horizontal="right"/>
    </xf>
    <xf numFmtId="164" fontId="0" fillId="0" borderId="0" xfId="0" applyNumberFormat="1"/>
    <xf numFmtId="9" fontId="0" fillId="0" borderId="0" xfId="0" applyNumberFormat="1"/>
    <xf numFmtId="0" fontId="27" fillId="0" borderId="0" xfId="0" applyFont="1" applyAlignment="1">
      <alignment horizontal="right"/>
    </xf>
    <xf numFmtId="0" fontId="30" fillId="0" borderId="0" xfId="0" applyFont="1"/>
    <xf numFmtId="0" fontId="25" fillId="0" borderId="0" xfId="0" applyFont="1"/>
    <xf numFmtId="10" fontId="2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35" borderId="0" xfId="0" applyNumberFormat="1" applyFill="1" applyAlignment="1">
      <alignment horizontal="center"/>
    </xf>
    <xf numFmtId="0" fontId="21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34" borderId="0" xfId="0" applyNumberFormat="1" applyFill="1" applyAlignment="1" applyProtection="1">
      <alignment horizontal="center"/>
      <protection locked="0"/>
    </xf>
    <xf numFmtId="10" fontId="0" fillId="35" borderId="0" xfId="0" applyNumberFormat="1" applyFill="1" applyAlignment="1" applyProtection="1">
      <alignment horizontal="center"/>
      <protection locked="0"/>
    </xf>
    <xf numFmtId="0" fontId="0" fillId="33" borderId="0" xfId="0" applyFill="1"/>
    <xf numFmtId="0" fontId="18" fillId="33" borderId="0" xfId="42" applyFill="1" applyProtection="1"/>
    <xf numFmtId="164" fontId="0" fillId="35" borderId="0" xfId="0" applyNumberFormat="1" applyFill="1"/>
    <xf numFmtId="0" fontId="1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22" fontId="0" fillId="0" borderId="0" xfId="0" applyNumberFormat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Hyperlink 2" xfId="44" xr:uid="{00000000-0005-0000-0000-000022000000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00000000-0005-0000-0000-000027000000}"/>
    <cellStyle name="Note" xfId="15" builtinId="10" customBuiltin="1"/>
    <cellStyle name="Output" xfId="10" builtinId="21" customBuiltin="1"/>
    <cellStyle name="Percent 2" xfId="45" xr:uid="{00000000-0005-0000-0000-00002A000000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zoomScale="114" zoomScaleNormal="50" workbookViewId="0">
      <selection activeCell="B4" sqref="B4"/>
    </sheetView>
  </sheetViews>
  <sheetFormatPr baseColWidth="10" defaultColWidth="8.83203125" defaultRowHeight="15" x14ac:dyDescent="0.2"/>
  <cols>
    <col min="1" max="1" width="12" customWidth="1"/>
    <col min="2" max="2" width="27.5" bestFit="1" customWidth="1"/>
  </cols>
  <sheetData>
    <row r="1" spans="1:2" x14ac:dyDescent="0.2">
      <c r="A1" s="50" t="s">
        <v>69</v>
      </c>
      <c r="B1" s="50" t="s">
        <v>80</v>
      </c>
    </row>
    <row r="2" spans="1:2" x14ac:dyDescent="0.2">
      <c r="A2" s="50" t="s">
        <v>68</v>
      </c>
      <c r="B2" s="51" t="s">
        <v>81</v>
      </c>
    </row>
    <row r="3" spans="1:2" x14ac:dyDescent="0.2">
      <c r="A3" t="s">
        <v>70</v>
      </c>
      <c r="B3" t="s">
        <v>72</v>
      </c>
    </row>
  </sheetData>
  <sheetProtection algorithmName="SHA-512" hashValue="MXCaaUKmCiwJhlwmqiKpKJKA21mfVj6+MFlUTf16MP+JsndoWdBpd6zfSTr5yRA6DT6/3kkjMo7Npj8/ZD+xsg==" saltValue="kCF+xzDtLpSq/rofbYEfJA==" spinCount="100000" sheet="1" objects="1" scenarios="1"/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O10:Z44"/>
  <sheetViews>
    <sheetView topLeftCell="K21" zoomScale="110" zoomScaleNormal="50" workbookViewId="0">
      <selection activeCell="R45" sqref="R45"/>
    </sheetView>
  </sheetViews>
  <sheetFormatPr baseColWidth="10" defaultColWidth="8.83203125" defaultRowHeight="15" x14ac:dyDescent="0.2"/>
  <cols>
    <col min="15" max="15" width="11" bestFit="1" customWidth="1"/>
    <col min="16" max="16" width="12.5" customWidth="1"/>
    <col min="17" max="18" width="12.83203125" customWidth="1"/>
    <col min="20" max="22" width="12.83203125" customWidth="1"/>
    <col min="24" max="26" width="12.83203125" customWidth="1"/>
  </cols>
  <sheetData>
    <row r="10" spans="15:18" x14ac:dyDescent="0.2">
      <c r="O10" s="1"/>
    </row>
    <row r="12" spans="15:18" ht="16" x14ac:dyDescent="0.2">
      <c r="O12" s="7" t="s">
        <v>0</v>
      </c>
      <c r="P12" s="1" t="str">
        <f>"Weekly returns for "&amp;Stock1&amp;" and "&amp;Stock2&amp;" are available below"</f>
        <v>Weekly returns for XASX:GEM and XASX:JIN are available below</v>
      </c>
    </row>
    <row r="14" spans="15:18" x14ac:dyDescent="0.2">
      <c r="Q14" s="2" t="s">
        <v>73</v>
      </c>
      <c r="R14" s="2" t="s">
        <v>74</v>
      </c>
    </row>
    <row r="15" spans="15:18" x14ac:dyDescent="0.2">
      <c r="P15" s="4">
        <v>45019</v>
      </c>
      <c r="Q15" s="8">
        <v>-2.5105921131076358E-2</v>
      </c>
      <c r="R15" s="8">
        <v>6.3794196577713888E-2</v>
      </c>
    </row>
    <row r="16" spans="15:18" x14ac:dyDescent="0.2">
      <c r="P16" s="4">
        <v>45026</v>
      </c>
      <c r="Q16" s="8">
        <v>3.3336420267591926E-2</v>
      </c>
      <c r="R16" s="8">
        <v>9.6332719771033033E-3</v>
      </c>
    </row>
    <row r="17" spans="16:24" x14ac:dyDescent="0.2">
      <c r="P17" s="4">
        <v>45033</v>
      </c>
      <c r="Q17" s="8">
        <v>2.4292692569044483E-2</v>
      </c>
      <c r="R17" s="8">
        <v>-2.0865138463961787E-2</v>
      </c>
    </row>
    <row r="18" spans="16:24" x14ac:dyDescent="0.2">
      <c r="P18" s="4">
        <v>45040</v>
      </c>
      <c r="Q18" s="8">
        <v>-2.4292692569044587E-2</v>
      </c>
      <c r="R18" s="8">
        <v>-1.5939616412157187E-2</v>
      </c>
    </row>
    <row r="19" spans="16:24" x14ac:dyDescent="0.2">
      <c r="P19" s="4">
        <v>45047</v>
      </c>
      <c r="Q19" s="8">
        <v>-3.3336420267591836E-2</v>
      </c>
      <c r="R19" s="8">
        <v>7.6564238228592013E-2</v>
      </c>
    </row>
    <row r="20" spans="16:24" x14ac:dyDescent="0.2">
      <c r="P20" s="4">
        <v>45054</v>
      </c>
      <c r="Q20" s="8">
        <v>-2.575249610241474E-2</v>
      </c>
      <c r="R20" s="8">
        <v>9.1711401191070831E-3</v>
      </c>
    </row>
    <row r="21" spans="16:24" x14ac:dyDescent="0.2">
      <c r="P21" s="4">
        <v>45061</v>
      </c>
      <c r="Q21" s="8">
        <v>-3.0907537463076548E-2</v>
      </c>
      <c r="R21" s="8">
        <v>2.9749686171060698E-2</v>
      </c>
    </row>
    <row r="22" spans="16:24" x14ac:dyDescent="0.2">
      <c r="P22" s="4">
        <v>45068</v>
      </c>
      <c r="Q22" s="8">
        <v>-4.1195756438267166E-2</v>
      </c>
      <c r="R22" s="8">
        <v>-3.2562627547675388E-2</v>
      </c>
    </row>
    <row r="23" spans="16:24" x14ac:dyDescent="0.2">
      <c r="P23" s="4">
        <v>45075</v>
      </c>
      <c r="Q23" s="8">
        <v>-2.3641763057040653E-2</v>
      </c>
      <c r="R23" s="8">
        <v>5.4141347507291326E-2</v>
      </c>
    </row>
    <row r="24" spans="16:24" x14ac:dyDescent="0.2">
      <c r="P24" s="4">
        <v>45082</v>
      </c>
      <c r="Q24" s="8">
        <v>-2.9128272923023713E-2</v>
      </c>
      <c r="R24" s="8">
        <v>-1.9535818329815782E-2</v>
      </c>
    </row>
    <row r="25" spans="16:24" x14ac:dyDescent="0.2">
      <c r="P25" s="6"/>
    </row>
    <row r="26" spans="16:24" x14ac:dyDescent="0.2">
      <c r="P26" s="3" t="s">
        <v>1</v>
      </c>
      <c r="Q26" s="8">
        <f>AVERAGE(Stock1_Data)</f>
        <v>-1.7573174711489923E-2</v>
      </c>
      <c r="R26" s="8">
        <f>AVERAGE(Stock2_Data)</f>
        <v>1.5415067982725817E-2</v>
      </c>
    </row>
    <row r="28" spans="16:24" x14ac:dyDescent="0.2">
      <c r="P28" s="5" t="s">
        <v>21</v>
      </c>
    </row>
    <row r="29" spans="16:24" x14ac:dyDescent="0.2">
      <c r="P29" s="5" t="s">
        <v>2</v>
      </c>
    </row>
    <row r="30" spans="16:24" x14ac:dyDescent="0.2">
      <c r="P30" s="5" t="s">
        <v>3</v>
      </c>
      <c r="Q30" s="1"/>
    </row>
    <row r="32" spans="16:24" x14ac:dyDescent="0.2">
      <c r="P32" s="1" t="s">
        <v>4</v>
      </c>
      <c r="T32" s="1" t="s">
        <v>5</v>
      </c>
      <c r="X32" s="1" t="s">
        <v>6</v>
      </c>
    </row>
    <row r="33" spans="16:26" x14ac:dyDescent="0.2">
      <c r="P33" s="1"/>
      <c r="T33" s="1"/>
      <c r="X33" s="1"/>
    </row>
    <row r="34" spans="16:26" x14ac:dyDescent="0.2">
      <c r="P34" s="6"/>
      <c r="Q34" s="2" t="str">
        <f>Stock1</f>
        <v>XASX:GEM</v>
      </c>
      <c r="R34" s="2" t="str">
        <f>Stock2</f>
        <v>XASX:JIN</v>
      </c>
      <c r="T34" s="6"/>
      <c r="U34" s="2" t="str">
        <f>Stock1</f>
        <v>XASX:GEM</v>
      </c>
      <c r="V34" s="2" t="str">
        <f>Stock2</f>
        <v>XASX:JIN</v>
      </c>
      <c r="Y34" s="2" t="str">
        <f>Stock1</f>
        <v>XASX:GEM</v>
      </c>
      <c r="Z34" s="2" t="str">
        <f>Stock2</f>
        <v>XASX:JIN</v>
      </c>
    </row>
    <row r="35" spans="16:26" x14ac:dyDescent="0.2">
      <c r="P35" s="4">
        <f t="array" ref="P35:P44">Stock_Dates</f>
        <v>45019</v>
      </c>
      <c r="Q35" s="48">
        <f>Q15-Q26</f>
        <v>-7.5327464195864349E-3</v>
      </c>
      <c r="R35" s="48">
        <f>R15-R26</f>
        <v>4.8379128594988073E-2</v>
      </c>
      <c r="T35" s="4">
        <f t="array" ref="T35:T44">Stock_Dates</f>
        <v>45019</v>
      </c>
      <c r="U35" s="48">
        <f>Q15-Q$26</f>
        <v>-7.5327464195864349E-3</v>
      </c>
      <c r="V35" s="48">
        <f>R15-$R$26</f>
        <v>4.8379128594988073E-2</v>
      </c>
      <c r="X35" s="4">
        <f t="array" ref="X35:X44">Stock_Dates</f>
        <v>45019</v>
      </c>
      <c r="Y35" s="48">
        <f>Q15-Q$26</f>
        <v>-7.5327464195864349E-3</v>
      </c>
      <c r="Z35" s="48">
        <f>R15-R$26</f>
        <v>4.8379128594988073E-2</v>
      </c>
    </row>
    <row r="36" spans="16:26" x14ac:dyDescent="0.2">
      <c r="P36" s="4">
        <v>45026</v>
      </c>
      <c r="Q36" s="48">
        <f>Q16-Q26</f>
        <v>5.0909594979081846E-2</v>
      </c>
      <c r="R36" s="48">
        <f>R16-R26</f>
        <v>-5.7817960056225134E-3</v>
      </c>
      <c r="T36" s="4">
        <v>45026</v>
      </c>
      <c r="U36" s="48">
        <f t="shared" ref="U36:U44" si="0">Q16-Q$26</f>
        <v>5.0909594979081846E-2</v>
      </c>
      <c r="V36" s="48">
        <f t="shared" ref="V36:V44" si="1">R16-$R$26</f>
        <v>-5.7817960056225134E-3</v>
      </c>
      <c r="X36" s="4">
        <v>45026</v>
      </c>
      <c r="Y36" s="48">
        <f t="shared" ref="Y36:Z44" si="2">Q16-Q$26</f>
        <v>5.0909594979081846E-2</v>
      </c>
      <c r="Z36" s="48">
        <f t="shared" si="2"/>
        <v>-5.7817960056225134E-3</v>
      </c>
    </row>
    <row r="37" spans="16:26" x14ac:dyDescent="0.2">
      <c r="P37" s="4">
        <v>45033</v>
      </c>
      <c r="Q37" s="48">
        <f>Q17-Q26</f>
        <v>4.1865867280534402E-2</v>
      </c>
      <c r="R37" s="48">
        <f>R17-R26</f>
        <v>-3.6280206446687606E-2</v>
      </c>
      <c r="T37" s="4">
        <v>45033</v>
      </c>
      <c r="U37" s="48">
        <f t="shared" si="0"/>
        <v>4.1865867280534402E-2</v>
      </c>
      <c r="V37" s="48">
        <f t="shared" si="1"/>
        <v>-3.6280206446687606E-2</v>
      </c>
      <c r="X37" s="4">
        <v>45033</v>
      </c>
      <c r="Y37" s="48">
        <f t="shared" si="2"/>
        <v>4.1865867280534402E-2</v>
      </c>
      <c r="Z37" s="48">
        <f t="shared" si="2"/>
        <v>-3.6280206446687606E-2</v>
      </c>
    </row>
    <row r="38" spans="16:26" x14ac:dyDescent="0.2">
      <c r="P38" s="4">
        <v>45040</v>
      </c>
      <c r="Q38" s="48">
        <f>Q18-Q26</f>
        <v>-6.7195178575546639E-3</v>
      </c>
      <c r="R38" s="48">
        <f>R18-R26</f>
        <v>-3.1354684394883002E-2</v>
      </c>
      <c r="T38" s="4">
        <v>45040</v>
      </c>
      <c r="U38" s="48">
        <f t="shared" si="0"/>
        <v>-6.7195178575546639E-3</v>
      </c>
      <c r="V38" s="48">
        <f t="shared" si="1"/>
        <v>-3.1354684394883002E-2</v>
      </c>
      <c r="X38" s="4">
        <v>45040</v>
      </c>
      <c r="Y38" s="48">
        <f t="shared" si="2"/>
        <v>-6.7195178575546639E-3</v>
      </c>
      <c r="Z38" s="48">
        <f>R18-R$26</f>
        <v>-3.1354684394883002E-2</v>
      </c>
    </row>
    <row r="39" spans="16:26" x14ac:dyDescent="0.2">
      <c r="P39" s="4">
        <v>45047</v>
      </c>
      <c r="Q39" s="48">
        <f>Q19-Q26</f>
        <v>-1.5763245556101913E-2</v>
      </c>
      <c r="R39" s="48">
        <f>R19-R26</f>
        <v>6.1149170245866198E-2</v>
      </c>
      <c r="T39" s="4">
        <v>45047</v>
      </c>
      <c r="U39" s="48">
        <f t="shared" si="0"/>
        <v>-1.5763245556101913E-2</v>
      </c>
      <c r="V39" s="48">
        <f t="shared" si="1"/>
        <v>6.1149170245866198E-2</v>
      </c>
      <c r="X39" s="4">
        <v>45047</v>
      </c>
      <c r="Y39" s="48">
        <f t="shared" si="2"/>
        <v>-1.5763245556101913E-2</v>
      </c>
      <c r="Z39" s="48">
        <f t="shared" si="2"/>
        <v>6.1149170245866198E-2</v>
      </c>
    </row>
    <row r="40" spans="16:26" x14ac:dyDescent="0.2">
      <c r="P40" s="4">
        <v>45054</v>
      </c>
      <c r="Q40" s="48">
        <f>Q20-Q26</f>
        <v>-8.1793213909248166E-3</v>
      </c>
      <c r="R40" s="48">
        <f>R20-R26</f>
        <v>-6.2439278636187336E-3</v>
      </c>
      <c r="T40" s="4">
        <v>45054</v>
      </c>
      <c r="U40" s="48">
        <f t="shared" si="0"/>
        <v>-8.1793213909248166E-3</v>
      </c>
      <c r="V40" s="48">
        <f t="shared" si="1"/>
        <v>-6.2439278636187336E-3</v>
      </c>
      <c r="X40" s="4">
        <v>45054</v>
      </c>
      <c r="Y40" s="48">
        <f t="shared" si="2"/>
        <v>-8.1793213909248166E-3</v>
      </c>
      <c r="Z40" s="48">
        <f t="shared" si="2"/>
        <v>-6.2439278636187336E-3</v>
      </c>
    </row>
    <row r="41" spans="16:26" x14ac:dyDescent="0.2">
      <c r="P41" s="4">
        <v>45061</v>
      </c>
      <c r="Q41" s="48">
        <f>Q21-Q26</f>
        <v>-1.3334362751586625E-2</v>
      </c>
      <c r="R41" s="48">
        <f>R21-R26</f>
        <v>1.4334618188334881E-2</v>
      </c>
      <c r="T41" s="4">
        <v>45061</v>
      </c>
      <c r="U41" s="48">
        <f t="shared" si="0"/>
        <v>-1.3334362751586625E-2</v>
      </c>
      <c r="V41" s="48">
        <f t="shared" si="1"/>
        <v>1.4334618188334881E-2</v>
      </c>
      <c r="X41" s="4">
        <v>45061</v>
      </c>
      <c r="Y41" s="48">
        <f t="shared" si="2"/>
        <v>-1.3334362751586625E-2</v>
      </c>
      <c r="Z41" s="48">
        <f t="shared" si="2"/>
        <v>1.4334618188334881E-2</v>
      </c>
    </row>
    <row r="42" spans="16:26" x14ac:dyDescent="0.2">
      <c r="P42" s="4">
        <v>45068</v>
      </c>
      <c r="Q42" s="48">
        <f>Q22-Q26</f>
        <v>-2.3622581726777243E-2</v>
      </c>
      <c r="R42" s="48">
        <f>R22-R26</f>
        <v>-4.7977695530401203E-2</v>
      </c>
      <c r="T42" s="4">
        <v>45068</v>
      </c>
      <c r="U42" s="48">
        <f t="shared" si="0"/>
        <v>-2.3622581726777243E-2</v>
      </c>
      <c r="V42" s="48">
        <f t="shared" si="1"/>
        <v>-4.7977695530401203E-2</v>
      </c>
      <c r="X42" s="4">
        <v>45068</v>
      </c>
      <c r="Y42" s="48">
        <f t="shared" si="2"/>
        <v>-2.3622581726777243E-2</v>
      </c>
      <c r="Z42" s="48">
        <f t="shared" si="2"/>
        <v>-4.7977695530401203E-2</v>
      </c>
    </row>
    <row r="43" spans="16:26" x14ac:dyDescent="0.2">
      <c r="P43" s="4">
        <v>45075</v>
      </c>
      <c r="Q43" s="48">
        <f>Q23-Q26</f>
        <v>-6.0685883455507302E-3</v>
      </c>
      <c r="R43" s="48">
        <f>R23-R26</f>
        <v>3.8726279524565511E-2</v>
      </c>
      <c r="T43" s="4">
        <v>45075</v>
      </c>
      <c r="U43" s="48">
        <f t="shared" si="0"/>
        <v>-6.0685883455507302E-3</v>
      </c>
      <c r="V43" s="48">
        <f t="shared" si="1"/>
        <v>3.8726279524565511E-2</v>
      </c>
      <c r="X43" s="4">
        <v>45075</v>
      </c>
      <c r="Y43" s="48">
        <f t="shared" si="2"/>
        <v>-6.0685883455507302E-3</v>
      </c>
      <c r="Z43" s="48">
        <f t="shared" si="2"/>
        <v>3.8726279524565511E-2</v>
      </c>
    </row>
    <row r="44" spans="16:26" x14ac:dyDescent="0.2">
      <c r="P44" s="4">
        <v>45082</v>
      </c>
      <c r="Q44" s="48">
        <f>Q24-Q26</f>
        <v>-1.155509821153379E-2</v>
      </c>
      <c r="R44" s="48">
        <f>R24-R26</f>
        <v>-3.4950886312541597E-2</v>
      </c>
      <c r="T44" s="4">
        <v>45082</v>
      </c>
      <c r="U44" s="48">
        <f t="shared" si="0"/>
        <v>-1.155509821153379E-2</v>
      </c>
      <c r="V44" s="48">
        <f t="shared" si="1"/>
        <v>-3.4950886312541597E-2</v>
      </c>
      <c r="X44" s="4">
        <v>45082</v>
      </c>
      <c r="Y44" s="48">
        <f t="shared" si="2"/>
        <v>-1.155509821153379E-2</v>
      </c>
      <c r="Z44" s="48">
        <f t="shared" si="2"/>
        <v>-3.4950886312541597E-2</v>
      </c>
    </row>
  </sheetData>
  <sheetProtection algorithmName="SHA-512" hashValue="gAwESM4sumc7F+noYFe3nFZEy9oLVoGFgA7b4s8tq29oDafE4OPSIPKRtCC6svgT6CMD1dg7JvSsFf1w7qZ+Uw==" saltValue="BiYn3OwyfnCBIKIFvcqlig==" spinCount="100000" sheet="1" objects="1" scenarios="1"/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L9:W41"/>
  <sheetViews>
    <sheetView topLeftCell="C16" zoomScale="50" zoomScaleNormal="50" workbookViewId="0">
      <selection activeCell="K26" activeCellId="2" sqref="C26:D38 G26:I37 K26:M37"/>
    </sheetView>
  </sheetViews>
  <sheetFormatPr baseColWidth="10" defaultColWidth="8.83203125" defaultRowHeight="15" x14ac:dyDescent="0.2"/>
  <cols>
    <col min="12" max="12" width="11" bestFit="1" customWidth="1"/>
    <col min="13" max="15" width="12.83203125" customWidth="1"/>
    <col min="17" max="19" width="12.83203125" customWidth="1"/>
    <col min="21" max="23" width="12.83203125" customWidth="1"/>
  </cols>
  <sheetData>
    <row r="9" spans="12:15" ht="16" x14ac:dyDescent="0.2">
      <c r="L9" s="7" t="s">
        <v>0</v>
      </c>
      <c r="M9" s="1" t="str">
        <f>"Weekly returns for "&amp;Stock3&amp;" and "&amp;Stock4&amp;" are available below"</f>
        <v>Weekly returns for XASX:ACL and XASX:MVF are available below</v>
      </c>
    </row>
    <row r="11" spans="12:15" x14ac:dyDescent="0.2">
      <c r="N11" s="2" t="s">
        <v>75</v>
      </c>
      <c r="O11" s="2" t="s">
        <v>76</v>
      </c>
    </row>
    <row r="12" spans="12:15" x14ac:dyDescent="0.2">
      <c r="M12" s="4">
        <f t="array" ref="M12:M21">Stock_Dates</f>
        <v>45019</v>
      </c>
      <c r="N12" s="8">
        <v>5.6497325421191276E-3</v>
      </c>
      <c r="O12" s="8">
        <v>9.3023926623136306E-3</v>
      </c>
    </row>
    <row r="13" spans="12:15" x14ac:dyDescent="0.2">
      <c r="M13" s="4">
        <v>45026</v>
      </c>
      <c r="N13" s="8">
        <v>-5.6497325421190209E-3</v>
      </c>
      <c r="O13" s="8">
        <v>4.5256591588120648E-2</v>
      </c>
    </row>
    <row r="14" spans="12:15" x14ac:dyDescent="0.2">
      <c r="M14" s="4">
        <v>45033</v>
      </c>
      <c r="N14" s="8">
        <v>4.9734005674138382E-2</v>
      </c>
      <c r="O14" s="8">
        <v>-3.6039936483196693E-2</v>
      </c>
    </row>
    <row r="15" spans="12:15" x14ac:dyDescent="0.2">
      <c r="M15" s="4">
        <v>45040</v>
      </c>
      <c r="N15" s="8">
        <v>-4.9734005674138444E-2</v>
      </c>
      <c r="O15" s="8">
        <v>5.7922647732704509E-2</v>
      </c>
    </row>
    <row r="16" spans="12:15" x14ac:dyDescent="0.2">
      <c r="M16" s="4">
        <v>45047</v>
      </c>
      <c r="N16" s="8">
        <v>5.6497325421191276E-3</v>
      </c>
      <c r="O16" s="8">
        <v>4.3196611445163796E-3</v>
      </c>
    </row>
    <row r="17" spans="13:23" x14ac:dyDescent="0.2">
      <c r="M17" s="4">
        <v>45054</v>
      </c>
      <c r="N17" s="8">
        <v>-1.4184634991956413E-2</v>
      </c>
      <c r="O17" s="8">
        <v>4.3010818993907017E-3</v>
      </c>
    </row>
    <row r="18" spans="13:23" x14ac:dyDescent="0.2">
      <c r="M18" s="4">
        <v>45061</v>
      </c>
      <c r="N18" s="8">
        <v>1.1363758650315003E-2</v>
      </c>
      <c r="O18" s="8">
        <v>0</v>
      </c>
    </row>
    <row r="19" spans="13:23" x14ac:dyDescent="0.2">
      <c r="M19" s="4">
        <v>45068</v>
      </c>
      <c r="N19" s="8">
        <v>-8.8553397341445059E-2</v>
      </c>
      <c r="O19" s="8">
        <v>-2.1692824611259896E-2</v>
      </c>
    </row>
    <row r="20" spans="13:23" x14ac:dyDescent="0.2">
      <c r="M20" s="4">
        <v>45075</v>
      </c>
      <c r="N20" s="8">
        <v>3.0816665374081144E-3</v>
      </c>
      <c r="O20" s="8">
        <v>8.7336799687546315E-3</v>
      </c>
    </row>
    <row r="21" spans="13:23" x14ac:dyDescent="0.2">
      <c r="M21" s="4">
        <v>45082</v>
      </c>
      <c r="N21" s="8">
        <v>2.7315810646962924E-2</v>
      </c>
      <c r="O21" s="8">
        <v>-8.7336799687546662E-3</v>
      </c>
    </row>
    <row r="22" spans="13:23" x14ac:dyDescent="0.2">
      <c r="M22" s="6"/>
    </row>
    <row r="23" spans="13:23" x14ac:dyDescent="0.2">
      <c r="M23" s="3" t="s">
        <v>1</v>
      </c>
      <c r="N23" s="8">
        <f>AVERAGE(Stock3_Data)</f>
        <v>-5.5327063956596258E-3</v>
      </c>
      <c r="O23" s="8">
        <f>AVERAGE(Stock4_Data)</f>
        <v>6.3369613932589232E-3</v>
      </c>
    </row>
    <row r="25" spans="13:23" x14ac:dyDescent="0.2">
      <c r="M25" s="5" t="s">
        <v>21</v>
      </c>
    </row>
    <row r="26" spans="13:23" x14ac:dyDescent="0.2">
      <c r="M26" s="5" t="s">
        <v>2</v>
      </c>
    </row>
    <row r="27" spans="13:23" x14ac:dyDescent="0.2">
      <c r="M27" s="5" t="s">
        <v>3</v>
      </c>
      <c r="N27" s="1"/>
    </row>
    <row r="29" spans="13:23" x14ac:dyDescent="0.2">
      <c r="M29" s="1" t="s">
        <v>4</v>
      </c>
      <c r="Q29" s="1" t="s">
        <v>5</v>
      </c>
      <c r="U29" s="1" t="s">
        <v>6</v>
      </c>
    </row>
    <row r="30" spans="13:23" x14ac:dyDescent="0.2">
      <c r="M30" s="1"/>
      <c r="Q30" s="1"/>
      <c r="U30" s="1"/>
    </row>
    <row r="31" spans="13:23" x14ac:dyDescent="0.2">
      <c r="M31" s="6"/>
      <c r="N31" s="2" t="str">
        <f>Stock3</f>
        <v>XASX:ACL</v>
      </c>
      <c r="O31" s="2" t="str">
        <f>Stock4</f>
        <v>XASX:MVF</v>
      </c>
      <c r="Q31" s="6"/>
      <c r="R31" s="2" t="str">
        <f>Stock3</f>
        <v>XASX:ACL</v>
      </c>
      <c r="S31" s="2" t="str">
        <f>Stock4</f>
        <v>XASX:MVF</v>
      </c>
      <c r="V31" s="2" t="str">
        <f>Stock3</f>
        <v>XASX:ACL</v>
      </c>
      <c r="W31" s="2" t="str">
        <f>Stock4</f>
        <v>XASX:MVF</v>
      </c>
    </row>
    <row r="32" spans="13:23" x14ac:dyDescent="0.2">
      <c r="M32" s="4">
        <f t="array" ref="M32:M41">Stock_Dates</f>
        <v>45019</v>
      </c>
      <c r="N32" s="48"/>
      <c r="O32" s="48"/>
      <c r="Q32" s="4">
        <f t="array" ref="Q32:Q41">Stock_Dates</f>
        <v>45019</v>
      </c>
      <c r="R32" s="48"/>
      <c r="S32" s="48"/>
      <c r="U32" s="4">
        <f t="array" ref="U32:U41">Stock_Dates</f>
        <v>45019</v>
      </c>
      <c r="V32" s="48"/>
      <c r="W32" s="48"/>
    </row>
    <row r="33" spans="13:23" x14ac:dyDescent="0.2">
      <c r="M33" s="4">
        <v>45026</v>
      </c>
      <c r="N33" s="48"/>
      <c r="O33" s="48"/>
      <c r="Q33" s="4">
        <v>45026</v>
      </c>
      <c r="R33" s="48"/>
      <c r="S33" s="48"/>
      <c r="U33" s="4">
        <v>45026</v>
      </c>
      <c r="V33" s="48"/>
      <c r="W33" s="48"/>
    </row>
    <row r="34" spans="13:23" x14ac:dyDescent="0.2">
      <c r="M34" s="4">
        <v>45033</v>
      </c>
      <c r="N34" s="48"/>
      <c r="O34" s="48"/>
      <c r="Q34" s="4">
        <v>45033</v>
      </c>
      <c r="R34" s="48"/>
      <c r="S34" s="48"/>
      <c r="U34" s="4">
        <v>45033</v>
      </c>
      <c r="V34" s="48"/>
      <c r="W34" s="48"/>
    </row>
    <row r="35" spans="13:23" x14ac:dyDescent="0.2">
      <c r="M35" s="4">
        <v>45040</v>
      </c>
      <c r="N35" s="48"/>
      <c r="O35" s="48"/>
      <c r="Q35" s="4">
        <v>45040</v>
      </c>
      <c r="R35" s="48"/>
      <c r="S35" s="48"/>
      <c r="U35" s="4">
        <v>45040</v>
      </c>
      <c r="V35" s="48"/>
      <c r="W35" s="48"/>
    </row>
    <row r="36" spans="13:23" x14ac:dyDescent="0.2">
      <c r="M36" s="4">
        <v>45047</v>
      </c>
      <c r="N36" s="48"/>
      <c r="O36" s="48"/>
      <c r="Q36" s="4">
        <v>45047</v>
      </c>
      <c r="R36" s="48"/>
      <c r="S36" s="48"/>
      <c r="U36" s="4">
        <v>45047</v>
      </c>
      <c r="V36" s="48"/>
      <c r="W36" s="48"/>
    </row>
    <row r="37" spans="13:23" x14ac:dyDescent="0.2">
      <c r="M37" s="4">
        <v>45054</v>
      </c>
      <c r="N37" s="48"/>
      <c r="O37" s="48"/>
      <c r="Q37" s="4">
        <v>45054</v>
      </c>
      <c r="R37" s="48"/>
      <c r="S37" s="48"/>
      <c r="U37" s="4">
        <v>45054</v>
      </c>
      <c r="V37" s="48"/>
      <c r="W37" s="48"/>
    </row>
    <row r="38" spans="13:23" x14ac:dyDescent="0.2">
      <c r="M38" s="4">
        <v>45061</v>
      </c>
      <c r="N38" s="48"/>
      <c r="O38" s="48"/>
      <c r="Q38" s="4">
        <v>45061</v>
      </c>
      <c r="R38" s="48"/>
      <c r="S38" s="48"/>
      <c r="U38" s="4">
        <v>45061</v>
      </c>
      <c r="V38" s="48"/>
      <c r="W38" s="48"/>
    </row>
    <row r="39" spans="13:23" x14ac:dyDescent="0.2">
      <c r="M39" s="4">
        <v>45068</v>
      </c>
      <c r="N39" s="48"/>
      <c r="O39" s="48"/>
      <c r="Q39" s="4">
        <v>45068</v>
      </c>
      <c r="R39" s="48"/>
      <c r="S39" s="48"/>
      <c r="U39" s="4">
        <v>45068</v>
      </c>
      <c r="V39" s="48"/>
      <c r="W39" s="48"/>
    </row>
    <row r="40" spans="13:23" x14ac:dyDescent="0.2">
      <c r="M40" s="4">
        <v>45075</v>
      </c>
      <c r="N40" s="48"/>
      <c r="O40" s="48"/>
      <c r="Q40" s="4">
        <v>45075</v>
      </c>
      <c r="R40" s="48"/>
      <c r="S40" s="48"/>
      <c r="U40" s="4">
        <v>45075</v>
      </c>
      <c r="V40" s="48"/>
      <c r="W40" s="48"/>
    </row>
    <row r="41" spans="13:23" x14ac:dyDescent="0.2">
      <c r="M41" s="4">
        <v>45082</v>
      </c>
      <c r="N41" s="48"/>
      <c r="O41" s="48"/>
      <c r="Q41" s="4">
        <v>45082</v>
      </c>
      <c r="R41" s="48"/>
      <c r="S41" s="48"/>
      <c r="U41" s="4">
        <v>45082</v>
      </c>
      <c r="V41" s="48"/>
      <c r="W41" s="48"/>
    </row>
  </sheetData>
  <sheetProtection algorithmName="SHA-512" hashValue="iAc+4t5b/pttVUmVMV1tZ4hwLBfI638w6LtFP90m6yLcTXRoRp2QadYVMRmFa3LqhUzSGSjDQ3ndd9fvgyK3TA==" saltValue="U9NQjsAUkUc+5FNm81VMv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I6:T38"/>
  <sheetViews>
    <sheetView topLeftCell="A10" zoomScale="50" zoomScaleNormal="50" workbookViewId="0">
      <selection activeCell="C26" activeCellId="2" sqref="G26:H37 K26:M36 C26:E38"/>
    </sheetView>
  </sheetViews>
  <sheetFormatPr baseColWidth="10" defaultColWidth="9.1640625" defaultRowHeight="15" x14ac:dyDescent="0.2"/>
  <cols>
    <col min="9" max="9" width="11" bestFit="1" customWidth="1"/>
    <col min="10" max="12" width="12.83203125" customWidth="1"/>
    <col min="14" max="16" width="12.83203125" customWidth="1"/>
    <col min="18" max="20" width="12.83203125" customWidth="1"/>
  </cols>
  <sheetData>
    <row r="6" spans="9:12" ht="16" x14ac:dyDescent="0.2">
      <c r="I6" s="7" t="s">
        <v>0</v>
      </c>
      <c r="J6" s="1" t="str">
        <f>"Weekly returns for "&amp;Stock5&amp;" and "&amp;Stock6&amp;" are available below"</f>
        <v>Weekly returns for XASX:BCB and XASX:PLS are available below</v>
      </c>
    </row>
    <row r="8" spans="9:12" x14ac:dyDescent="0.2">
      <c r="K8" s="2" t="s">
        <v>77</v>
      </c>
      <c r="L8" s="2" t="s">
        <v>78</v>
      </c>
    </row>
    <row r="9" spans="9:12" x14ac:dyDescent="0.2">
      <c r="J9" s="4">
        <f t="array" ref="J9:J18">Stock_Dates</f>
        <v>45019</v>
      </c>
      <c r="K9" s="8">
        <v>3.9220713153281329E-2</v>
      </c>
      <c r="L9" s="8">
        <v>-8.7472950965052865E-2</v>
      </c>
    </row>
    <row r="10" spans="9:12" x14ac:dyDescent="0.2">
      <c r="J10" s="4">
        <v>45026</v>
      </c>
      <c r="K10" s="8">
        <v>-1.9418085857101627E-2</v>
      </c>
      <c r="L10" s="8">
        <v>3.8048067637529964E-2</v>
      </c>
    </row>
    <row r="11" spans="9:12" x14ac:dyDescent="0.2">
      <c r="J11" s="4">
        <v>45033</v>
      </c>
      <c r="K11" s="8">
        <v>-4.0005334613699248E-2</v>
      </c>
      <c r="L11" s="8">
        <v>6.9526062648610096E-2</v>
      </c>
    </row>
    <row r="12" spans="9:12" x14ac:dyDescent="0.2">
      <c r="J12" s="4">
        <v>45040</v>
      </c>
      <c r="K12" s="8">
        <v>2.0202707317519469E-2</v>
      </c>
      <c r="L12" s="8">
        <v>5.3281366612936781E-2</v>
      </c>
    </row>
    <row r="13" spans="9:12" x14ac:dyDescent="0.2">
      <c r="J13" s="4">
        <v>45047</v>
      </c>
      <c r="K13" s="8">
        <v>-0.12783337150988489</v>
      </c>
      <c r="L13" s="8">
        <v>3.7041271680349076E-2</v>
      </c>
    </row>
    <row r="14" spans="9:12" x14ac:dyDescent="0.2">
      <c r="J14" s="4">
        <v>45054</v>
      </c>
      <c r="K14" s="8">
        <v>0</v>
      </c>
      <c r="L14" s="8">
        <v>8.2836005579149177E-2</v>
      </c>
    </row>
    <row r="15" spans="9:12" x14ac:dyDescent="0.2">
      <c r="J15" s="4">
        <v>45061</v>
      </c>
      <c r="K15" s="8">
        <v>-4.6520015634892928E-2</v>
      </c>
      <c r="L15" s="8">
        <v>4.2995363260062668E-2</v>
      </c>
    </row>
    <row r="16" spans="9:12" x14ac:dyDescent="0.2">
      <c r="J16" s="4">
        <v>45068</v>
      </c>
      <c r="K16" s="8">
        <v>4.6520015634892907E-2</v>
      </c>
      <c r="L16" s="8">
        <v>-9.4508897710170653E-2</v>
      </c>
    </row>
    <row r="17" spans="10:20" x14ac:dyDescent="0.2">
      <c r="J17" s="4">
        <v>45075</v>
      </c>
      <c r="K17" s="8">
        <v>0</v>
      </c>
      <c r="L17" s="8">
        <v>-1.5538603427779161E-2</v>
      </c>
    </row>
    <row r="18" spans="10:20" x14ac:dyDescent="0.2">
      <c r="J18" s="4">
        <v>45082</v>
      </c>
      <c r="K18" s="8">
        <v>-0.2876820724517809</v>
      </c>
      <c r="L18" s="8">
        <v>6.0756209421072432E-2</v>
      </c>
    </row>
    <row r="19" spans="10:20" x14ac:dyDescent="0.2">
      <c r="J19" s="6"/>
    </row>
    <row r="20" spans="10:20" x14ac:dyDescent="0.2">
      <c r="J20" s="3" t="s">
        <v>1</v>
      </c>
      <c r="K20" s="8">
        <f>AVERAGE(Stock5_Data)</f>
        <v>-4.1551544396166581E-2</v>
      </c>
      <c r="L20" s="8">
        <f>AVERAGE(Stock6_Data)</f>
        <v>1.8696389473670756E-2</v>
      </c>
    </row>
    <row r="22" spans="10:20" x14ac:dyDescent="0.2">
      <c r="J22" s="5" t="s">
        <v>21</v>
      </c>
    </row>
    <row r="23" spans="10:20" x14ac:dyDescent="0.2">
      <c r="J23" s="5" t="s">
        <v>2</v>
      </c>
    </row>
    <row r="24" spans="10:20" x14ac:dyDescent="0.2">
      <c r="J24" s="5" t="s">
        <v>3</v>
      </c>
      <c r="K24" s="1"/>
    </row>
    <row r="26" spans="10:20" x14ac:dyDescent="0.2">
      <c r="J26" s="1" t="s">
        <v>4</v>
      </c>
      <c r="N26" s="1" t="s">
        <v>5</v>
      </c>
      <c r="R26" s="1" t="s">
        <v>6</v>
      </c>
    </row>
    <row r="27" spans="10:20" x14ac:dyDescent="0.2">
      <c r="J27" s="1"/>
      <c r="N27" s="1"/>
      <c r="R27" s="1"/>
    </row>
    <row r="28" spans="10:20" x14ac:dyDescent="0.2">
      <c r="J28" s="6"/>
      <c r="K28" s="2" t="str">
        <f>Stock5</f>
        <v>XASX:BCB</v>
      </c>
      <c r="L28" s="2" t="str">
        <f>Stock6</f>
        <v>XASX:PLS</v>
      </c>
      <c r="N28" s="6"/>
      <c r="O28" s="2" t="str">
        <f>Stock5</f>
        <v>XASX:BCB</v>
      </c>
      <c r="P28" s="2" t="str">
        <f>Stock6</f>
        <v>XASX:PLS</v>
      </c>
      <c r="S28" s="2" t="str">
        <f>Stock5</f>
        <v>XASX:BCB</v>
      </c>
      <c r="T28" s="2" t="str">
        <f>Stock6</f>
        <v>XASX:PLS</v>
      </c>
    </row>
    <row r="29" spans="10:20" x14ac:dyDescent="0.2">
      <c r="J29" s="4">
        <f t="array" ref="J29:J38">Stock_Dates</f>
        <v>45019</v>
      </c>
      <c r="K29" s="48"/>
      <c r="L29" s="48"/>
      <c r="N29" s="4">
        <f t="array" ref="N29:N38">Stock_Dates</f>
        <v>45019</v>
      </c>
      <c r="O29" s="48"/>
      <c r="P29" s="48"/>
      <c r="R29" s="4">
        <f t="array" ref="R29:R38">Stock_Dates</f>
        <v>45019</v>
      </c>
      <c r="S29" s="48"/>
      <c r="T29" s="48"/>
    </row>
    <row r="30" spans="10:20" x14ac:dyDescent="0.2">
      <c r="J30" s="4">
        <v>45026</v>
      </c>
      <c r="K30" s="48"/>
      <c r="L30" s="48"/>
      <c r="N30" s="4">
        <v>45026</v>
      </c>
      <c r="O30" s="48"/>
      <c r="P30" s="48"/>
      <c r="R30" s="4">
        <v>45026</v>
      </c>
      <c r="S30" s="48"/>
      <c r="T30" s="48"/>
    </row>
    <row r="31" spans="10:20" x14ac:dyDescent="0.2">
      <c r="J31" s="4">
        <v>45033</v>
      </c>
      <c r="K31" s="48"/>
      <c r="L31" s="48"/>
      <c r="N31" s="4">
        <v>45033</v>
      </c>
      <c r="O31" s="48"/>
      <c r="P31" s="48"/>
      <c r="R31" s="4">
        <v>45033</v>
      </c>
      <c r="S31" s="48"/>
      <c r="T31" s="48"/>
    </row>
    <row r="32" spans="10:20" x14ac:dyDescent="0.2">
      <c r="J32" s="4">
        <v>45040</v>
      </c>
      <c r="K32" s="48"/>
      <c r="L32" s="48"/>
      <c r="N32" s="4">
        <v>45040</v>
      </c>
      <c r="O32" s="48"/>
      <c r="P32" s="48"/>
      <c r="R32" s="4">
        <v>45040</v>
      </c>
      <c r="S32" s="48"/>
      <c r="T32" s="48"/>
    </row>
    <row r="33" spans="10:20" x14ac:dyDescent="0.2">
      <c r="J33" s="4">
        <v>45047</v>
      </c>
      <c r="K33" s="48"/>
      <c r="L33" s="48"/>
      <c r="N33" s="4">
        <v>45047</v>
      </c>
      <c r="O33" s="48"/>
      <c r="P33" s="48"/>
      <c r="R33" s="4">
        <v>45047</v>
      </c>
      <c r="S33" s="48"/>
      <c r="T33" s="48"/>
    </row>
    <row r="34" spans="10:20" x14ac:dyDescent="0.2">
      <c r="J34" s="4">
        <v>45054</v>
      </c>
      <c r="K34" s="48"/>
      <c r="L34" s="48"/>
      <c r="N34" s="4">
        <v>45054</v>
      </c>
      <c r="O34" s="48"/>
      <c r="P34" s="48"/>
      <c r="R34" s="4">
        <v>45054</v>
      </c>
      <c r="S34" s="48"/>
      <c r="T34" s="48"/>
    </row>
    <row r="35" spans="10:20" x14ac:dyDescent="0.2">
      <c r="J35" s="4">
        <v>45061</v>
      </c>
      <c r="K35" s="48"/>
      <c r="L35" s="48"/>
      <c r="N35" s="4">
        <v>45061</v>
      </c>
      <c r="O35" s="48"/>
      <c r="P35" s="48"/>
      <c r="R35" s="4">
        <v>45061</v>
      </c>
      <c r="S35" s="48"/>
      <c r="T35" s="48"/>
    </row>
    <row r="36" spans="10:20" x14ac:dyDescent="0.2">
      <c r="J36" s="4">
        <v>45068</v>
      </c>
      <c r="K36" s="48"/>
      <c r="L36" s="48"/>
      <c r="N36" s="4">
        <v>45068</v>
      </c>
      <c r="O36" s="48"/>
      <c r="P36" s="48"/>
      <c r="R36" s="4">
        <v>45068</v>
      </c>
      <c r="S36" s="48"/>
      <c r="T36" s="48"/>
    </row>
    <row r="37" spans="10:20" x14ac:dyDescent="0.2">
      <c r="J37" s="4">
        <v>45075</v>
      </c>
      <c r="K37" s="48"/>
      <c r="L37" s="48"/>
      <c r="N37" s="4">
        <v>45075</v>
      </c>
      <c r="O37" s="48"/>
      <c r="P37" s="48"/>
      <c r="R37" s="4">
        <v>45075</v>
      </c>
      <c r="S37" s="48"/>
      <c r="T37" s="48"/>
    </row>
    <row r="38" spans="10:20" x14ac:dyDescent="0.2">
      <c r="J38" s="4">
        <v>45082</v>
      </c>
      <c r="K38" s="48"/>
      <c r="L38" s="48"/>
      <c r="N38" s="4">
        <v>45082</v>
      </c>
      <c r="O38" s="48"/>
      <c r="P38" s="48"/>
      <c r="R38" s="4">
        <v>45082</v>
      </c>
      <c r="S38" s="48"/>
      <c r="T38" s="48"/>
    </row>
  </sheetData>
  <sheetProtection algorithmName="SHA-512" hashValue="34fWObp6OzDawxZiY+FtCKT4iX1T65kfijNik6syvajARRnG9KRC7fNKPe1Zw1M5OhTRhUOIsDKxxckYZD/W4w==" saltValue="N7MX0W4LcQ6rEOJt/IdXH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8:L53"/>
  <sheetViews>
    <sheetView topLeftCell="A24" zoomScale="108" zoomScaleNormal="50" workbookViewId="0">
      <selection activeCell="C41" sqref="C41:D50"/>
    </sheetView>
  </sheetViews>
  <sheetFormatPr baseColWidth="10" defaultColWidth="8.83203125" defaultRowHeight="15" x14ac:dyDescent="0.2"/>
  <cols>
    <col min="1" max="1" width="11" bestFit="1" customWidth="1"/>
    <col min="2" max="12" width="12.83203125" customWidth="1"/>
  </cols>
  <sheetData>
    <row r="18" spans="1:4" ht="16" x14ac:dyDescent="0.2">
      <c r="A18" s="7" t="s">
        <v>0</v>
      </c>
      <c r="B18" s="1" t="str">
        <f>"Weekly returns for "&amp;Stock1&amp;" and "&amp;Stock2&amp;" are available below"</f>
        <v>Weekly returns for XASX:GEM and XASX:JIN are available below</v>
      </c>
    </row>
    <row r="19" spans="1:4" ht="16" x14ac:dyDescent="0.2">
      <c r="A19" s="7"/>
      <c r="B19" s="1"/>
    </row>
    <row r="20" spans="1:4" x14ac:dyDescent="0.2">
      <c r="C20" s="2" t="str">
        <f>Stock1</f>
        <v>XASX:GEM</v>
      </c>
      <c r="D20" s="2" t="str">
        <f>Stock2</f>
        <v>XASX:JIN</v>
      </c>
    </row>
    <row r="21" spans="1:4" x14ac:dyDescent="0.2">
      <c r="B21" s="4">
        <f t="array" ref="B21:B30">Stock_Dates</f>
        <v>45019</v>
      </c>
      <c r="C21" s="8">
        <f t="array" ref="C21:C30">Stock1_Data</f>
        <v>-2.5105921131076358E-2</v>
      </c>
      <c r="D21" s="8">
        <f t="array" ref="D21:D30">Stock2_Data</f>
        <v>6.3794196577713888E-2</v>
      </c>
    </row>
    <row r="22" spans="1:4" x14ac:dyDescent="0.2">
      <c r="B22" s="4">
        <v>45026</v>
      </c>
      <c r="C22" s="8">
        <v>3.3336420267591926E-2</v>
      </c>
      <c r="D22" s="8">
        <v>9.6332719771033033E-3</v>
      </c>
    </row>
    <row r="23" spans="1:4" x14ac:dyDescent="0.2">
      <c r="B23" s="4">
        <v>45033</v>
      </c>
      <c r="C23" s="8">
        <v>2.4292692569044483E-2</v>
      </c>
      <c r="D23" s="8">
        <v>-2.0865138463961787E-2</v>
      </c>
    </row>
    <row r="24" spans="1:4" x14ac:dyDescent="0.2">
      <c r="B24" s="4">
        <v>45040</v>
      </c>
      <c r="C24" s="8">
        <v>-2.4292692569044587E-2</v>
      </c>
      <c r="D24" s="8">
        <v>-1.5939616412157187E-2</v>
      </c>
    </row>
    <row r="25" spans="1:4" x14ac:dyDescent="0.2">
      <c r="B25" s="4">
        <v>45047</v>
      </c>
      <c r="C25" s="8">
        <v>-3.3336420267591836E-2</v>
      </c>
      <c r="D25" s="8">
        <v>7.6564238228592013E-2</v>
      </c>
    </row>
    <row r="26" spans="1:4" x14ac:dyDescent="0.2">
      <c r="B26" s="4">
        <v>45054</v>
      </c>
      <c r="C26" s="8">
        <v>-2.575249610241474E-2</v>
      </c>
      <c r="D26" s="8">
        <v>9.1711401191070831E-3</v>
      </c>
    </row>
    <row r="27" spans="1:4" x14ac:dyDescent="0.2">
      <c r="B27" s="4">
        <v>45061</v>
      </c>
      <c r="C27" s="8">
        <v>-3.0907537463076548E-2</v>
      </c>
      <c r="D27" s="8">
        <v>2.9749686171060698E-2</v>
      </c>
    </row>
    <row r="28" spans="1:4" x14ac:dyDescent="0.2">
      <c r="B28" s="4">
        <v>45068</v>
      </c>
      <c r="C28" s="8">
        <v>-4.1195756438267166E-2</v>
      </c>
      <c r="D28" s="8">
        <v>-3.2562627547675388E-2</v>
      </c>
    </row>
    <row r="29" spans="1:4" x14ac:dyDescent="0.2">
      <c r="B29" s="4">
        <v>45075</v>
      </c>
      <c r="C29" s="8">
        <v>-2.3641763057040653E-2</v>
      </c>
      <c r="D29" s="8">
        <v>5.4141347507291326E-2</v>
      </c>
    </row>
    <row r="30" spans="1:4" x14ac:dyDescent="0.2">
      <c r="B30" s="4">
        <v>45082</v>
      </c>
      <c r="C30" s="8">
        <v>-2.9128272923023713E-2</v>
      </c>
      <c r="D30" s="8">
        <v>-1.9535818329815782E-2</v>
      </c>
    </row>
    <row r="32" spans="1:4" x14ac:dyDescent="0.2">
      <c r="B32" s="10" t="s">
        <v>8</v>
      </c>
    </row>
    <row r="34" spans="1:12" x14ac:dyDescent="0.2">
      <c r="C34" s="4">
        <f t="array" ref="C34:L34">TRANSPOSE(Stock_Dates)</f>
        <v>45019</v>
      </c>
      <c r="D34" s="4">
        <v>45026</v>
      </c>
      <c r="E34" s="4">
        <v>45033</v>
      </c>
      <c r="F34" s="4">
        <v>45040</v>
      </c>
      <c r="G34" s="4">
        <v>45047</v>
      </c>
      <c r="H34" s="4">
        <v>45054</v>
      </c>
      <c r="I34" s="4">
        <v>45061</v>
      </c>
      <c r="J34" s="4">
        <v>45068</v>
      </c>
      <c r="K34" s="4">
        <v>45075</v>
      </c>
      <c r="L34" s="4">
        <v>45082</v>
      </c>
    </row>
    <row r="35" spans="1:12" x14ac:dyDescent="0.2">
      <c r="B35" s="2" t="str">
        <f>Stock1</f>
        <v>XASX:GEM</v>
      </c>
      <c r="C35" s="48">
        <f t="array" ref="C35:L36">TRANSPOSE(C21:D30)</f>
        <v>-2.5105921131076358E-2</v>
      </c>
      <c r="D35" s="48">
        <v>3.3336420267591926E-2</v>
      </c>
      <c r="E35" s="48">
        <v>2.4292692569044483E-2</v>
      </c>
      <c r="F35" s="48">
        <v>-2.4292692569044587E-2</v>
      </c>
      <c r="G35" s="48">
        <v>-3.3336420267591836E-2</v>
      </c>
      <c r="H35" s="48">
        <v>-2.575249610241474E-2</v>
      </c>
      <c r="I35" s="48">
        <v>-3.0907537463076548E-2</v>
      </c>
      <c r="J35" s="48">
        <v>-4.1195756438267166E-2</v>
      </c>
      <c r="K35" s="48">
        <v>-2.3641763057040653E-2</v>
      </c>
      <c r="L35" s="48">
        <v>-2.9128272923023713E-2</v>
      </c>
    </row>
    <row r="36" spans="1:12" x14ac:dyDescent="0.2">
      <c r="B36" s="2" t="str">
        <f>Stock2</f>
        <v>XASX:JIN</v>
      </c>
      <c r="C36" s="48">
        <v>6.3794196577713888E-2</v>
      </c>
      <c r="D36" s="48">
        <v>9.6332719771033033E-3</v>
      </c>
      <c r="E36" s="48">
        <v>-2.0865138463961787E-2</v>
      </c>
      <c r="F36" s="48">
        <v>-1.5939616412157187E-2</v>
      </c>
      <c r="G36" s="48">
        <v>7.6564238228592013E-2</v>
      </c>
      <c r="H36" s="48">
        <v>9.1711401191070831E-3</v>
      </c>
      <c r="I36" s="48">
        <v>2.9749686171060698E-2</v>
      </c>
      <c r="J36" s="48">
        <v>-3.2562627547675388E-2</v>
      </c>
      <c r="K36" s="48">
        <v>5.4141347507291326E-2</v>
      </c>
      <c r="L36" s="48">
        <v>-1.9535818329815782E-2</v>
      </c>
    </row>
    <row r="38" spans="1:12" ht="16" x14ac:dyDescent="0.2">
      <c r="A38" s="7" t="s">
        <v>7</v>
      </c>
      <c r="B38" s="5" t="s">
        <v>9</v>
      </c>
    </row>
    <row r="40" spans="1:12" x14ac:dyDescent="0.2">
      <c r="C40" s="2" t="str">
        <f>Stock1</f>
        <v>XASX:GEM</v>
      </c>
      <c r="D40" s="2" t="str">
        <f>Stock2</f>
        <v>XASX:JIN</v>
      </c>
    </row>
    <row r="41" spans="1:12" x14ac:dyDescent="0.2">
      <c r="B41" s="4">
        <f t="array" ref="B41:B50">Stock_Dates</f>
        <v>45019</v>
      </c>
      <c r="C41" s="49">
        <f t="array" ref="C41:D50">TRANSPOSE(C35:L36)</f>
        <v>-2.5105921131076358E-2</v>
      </c>
      <c r="D41" s="49">
        <v>6.3794196577713888E-2</v>
      </c>
    </row>
    <row r="42" spans="1:12" x14ac:dyDescent="0.2">
      <c r="B42" s="4">
        <v>45026</v>
      </c>
      <c r="C42" s="49">
        <v>3.3336420267591926E-2</v>
      </c>
      <c r="D42" s="49">
        <v>9.6332719771033033E-3</v>
      </c>
    </row>
    <row r="43" spans="1:12" x14ac:dyDescent="0.2">
      <c r="B43" s="4">
        <v>45033</v>
      </c>
      <c r="C43" s="49">
        <v>2.4292692569044483E-2</v>
      </c>
      <c r="D43" s="49">
        <v>-2.0865138463961787E-2</v>
      </c>
    </row>
    <row r="44" spans="1:12" x14ac:dyDescent="0.2">
      <c r="B44" s="4">
        <v>45040</v>
      </c>
      <c r="C44" s="49">
        <v>-2.4292692569044587E-2</v>
      </c>
      <c r="D44" s="49">
        <v>-1.5939616412157187E-2</v>
      </c>
    </row>
    <row r="45" spans="1:12" x14ac:dyDescent="0.2">
      <c r="B45" s="4">
        <v>45047</v>
      </c>
      <c r="C45" s="49">
        <v>-3.3336420267591836E-2</v>
      </c>
      <c r="D45" s="49">
        <v>7.6564238228592013E-2</v>
      </c>
    </row>
    <row r="46" spans="1:12" x14ac:dyDescent="0.2">
      <c r="B46" s="4">
        <v>45054</v>
      </c>
      <c r="C46" s="49">
        <v>-2.575249610241474E-2</v>
      </c>
      <c r="D46" s="49">
        <v>9.1711401191070831E-3</v>
      </c>
    </row>
    <row r="47" spans="1:12" x14ac:dyDescent="0.2">
      <c r="B47" s="4">
        <v>45061</v>
      </c>
      <c r="C47" s="49">
        <v>-3.0907537463076548E-2</v>
      </c>
      <c r="D47" s="49">
        <v>2.9749686171060698E-2</v>
      </c>
    </row>
    <row r="48" spans="1:12" x14ac:dyDescent="0.2">
      <c r="B48" s="4">
        <v>45068</v>
      </c>
      <c r="C48" s="49">
        <v>-4.1195756438267166E-2</v>
      </c>
      <c r="D48" s="49">
        <v>-3.2562627547675388E-2</v>
      </c>
    </row>
    <row r="49" spans="2:4" x14ac:dyDescent="0.2">
      <c r="B49" s="4">
        <v>45075</v>
      </c>
      <c r="C49" s="49">
        <v>-2.3641763057040653E-2</v>
      </c>
      <c r="D49" s="49">
        <v>5.4141347507291326E-2</v>
      </c>
    </row>
    <row r="50" spans="2:4" x14ac:dyDescent="0.2">
      <c r="B50" s="4">
        <v>45082</v>
      </c>
      <c r="C50" s="49">
        <v>-2.9128272923023713E-2</v>
      </c>
      <c r="D50" s="49">
        <v>-1.9535818329815782E-2</v>
      </c>
    </row>
    <row r="53" spans="2:4" x14ac:dyDescent="0.2">
      <c r="B53" s="3"/>
    </row>
  </sheetData>
  <sheetProtection algorithmName="SHA-512" hashValue="Fm2L8RqBSsF3T5b8r+CUOGYROlbR9yhlhYcTloTDbmZWO4HGSmV1uOYDAfGzKIlEKMxg5HcCmO4TMh1G0L5S0Q==" saltValue="3Y6614GC0CaewWpdLIr5G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R15:AC47"/>
  <sheetViews>
    <sheetView topLeftCell="A19" zoomScale="50" zoomScaleNormal="50" workbookViewId="0">
      <selection activeCell="C26" activeCellId="1" sqref="C20:M22 C26:E39"/>
    </sheetView>
  </sheetViews>
  <sheetFormatPr baseColWidth="10" defaultColWidth="8.83203125" defaultRowHeight="15" x14ac:dyDescent="0.2"/>
  <cols>
    <col min="18" max="29" width="12.83203125" customWidth="1"/>
  </cols>
  <sheetData>
    <row r="15" spans="18:19" ht="16" x14ac:dyDescent="0.2">
      <c r="R15" s="7" t="s">
        <v>0</v>
      </c>
      <c r="S15" s="1" t="str">
        <f>"Weekly returns for "&amp;Stock3&amp;" and "&amp;Stock4&amp;" are available below"</f>
        <v>Weekly returns for XASX:ACL and XASX:MVF are available below</v>
      </c>
    </row>
    <row r="16" spans="18:19" ht="16" x14ac:dyDescent="0.2">
      <c r="R16" s="7"/>
      <c r="S16" s="1"/>
    </row>
    <row r="17" spans="19:29" x14ac:dyDescent="0.2">
      <c r="T17" s="2" t="str">
        <f>Stock3</f>
        <v>XASX:ACL</v>
      </c>
      <c r="U17" s="2" t="str">
        <f>Stock4</f>
        <v>XASX:MVF</v>
      </c>
    </row>
    <row r="18" spans="19:29" x14ac:dyDescent="0.2">
      <c r="S18" s="4">
        <f t="array" ref="S18:S27">Stock_Dates</f>
        <v>45019</v>
      </c>
      <c r="T18" s="8">
        <f t="array" ref="T18:T27">Stock3_Data</f>
        <v>5.6497325421191276E-3</v>
      </c>
      <c r="U18" s="8">
        <f t="array" ref="U18:U27">Stock4_Data</f>
        <v>9.3023926623136306E-3</v>
      </c>
    </row>
    <row r="19" spans="19:29" x14ac:dyDescent="0.2">
      <c r="S19" s="4">
        <v>45026</v>
      </c>
      <c r="T19" s="8">
        <v>-5.6497325421190209E-3</v>
      </c>
      <c r="U19" s="8">
        <v>4.5256591588120648E-2</v>
      </c>
    </row>
    <row r="20" spans="19:29" x14ac:dyDescent="0.2">
      <c r="S20" s="4">
        <v>45033</v>
      </c>
      <c r="T20" s="8">
        <v>4.9734005674138382E-2</v>
      </c>
      <c r="U20" s="8">
        <v>-3.6039936483196693E-2</v>
      </c>
    </row>
    <row r="21" spans="19:29" x14ac:dyDescent="0.2">
      <c r="S21" s="4">
        <v>45040</v>
      </c>
      <c r="T21" s="8">
        <v>-4.9734005674138444E-2</v>
      </c>
      <c r="U21" s="8">
        <v>5.7922647732704509E-2</v>
      </c>
    </row>
    <row r="22" spans="19:29" x14ac:dyDescent="0.2">
      <c r="S22" s="4">
        <v>45047</v>
      </c>
      <c r="T22" s="8">
        <v>5.6497325421191276E-3</v>
      </c>
      <c r="U22" s="8">
        <v>4.3196611445163796E-3</v>
      </c>
    </row>
    <row r="23" spans="19:29" x14ac:dyDescent="0.2">
      <c r="S23" s="4">
        <v>45054</v>
      </c>
      <c r="T23" s="8">
        <v>-1.4184634991956413E-2</v>
      </c>
      <c r="U23" s="8">
        <v>4.3010818993907017E-3</v>
      </c>
    </row>
    <row r="24" spans="19:29" x14ac:dyDescent="0.2">
      <c r="S24" s="4">
        <v>45061</v>
      </c>
      <c r="T24" s="8">
        <v>1.1363758650315003E-2</v>
      </c>
      <c r="U24" s="8">
        <v>0</v>
      </c>
    </row>
    <row r="25" spans="19:29" x14ac:dyDescent="0.2">
      <c r="S25" s="4">
        <v>45068</v>
      </c>
      <c r="T25" s="8">
        <v>-8.8553397341445059E-2</v>
      </c>
      <c r="U25" s="8">
        <v>-2.1692824611259896E-2</v>
      </c>
    </row>
    <row r="26" spans="19:29" x14ac:dyDescent="0.2">
      <c r="S26" s="4">
        <v>45075</v>
      </c>
      <c r="T26" s="8">
        <v>3.0816665374081144E-3</v>
      </c>
      <c r="U26" s="8">
        <v>8.7336799687546315E-3</v>
      </c>
    </row>
    <row r="27" spans="19:29" x14ac:dyDescent="0.2">
      <c r="S27" s="4">
        <v>45082</v>
      </c>
      <c r="T27" s="8">
        <v>2.7315810646962924E-2</v>
      </c>
      <c r="U27" s="8">
        <v>-8.7336799687546662E-3</v>
      </c>
    </row>
    <row r="29" spans="19:29" x14ac:dyDescent="0.2">
      <c r="S29" s="10" t="s">
        <v>8</v>
      </c>
    </row>
    <row r="31" spans="19:29" x14ac:dyDescent="0.2">
      <c r="T31" s="4">
        <f t="array" ref="T31:AC31">TRANSPOSE(Stock_Dates)</f>
        <v>45019</v>
      </c>
      <c r="U31" s="4">
        <v>45026</v>
      </c>
      <c r="V31" s="4">
        <v>45033</v>
      </c>
      <c r="W31" s="4">
        <v>45040</v>
      </c>
      <c r="X31" s="4">
        <v>45047</v>
      </c>
      <c r="Y31" s="4">
        <v>45054</v>
      </c>
      <c r="Z31" s="4">
        <v>45061</v>
      </c>
      <c r="AA31" s="4">
        <v>45068</v>
      </c>
      <c r="AB31" s="4">
        <v>45075</v>
      </c>
      <c r="AC31" s="4">
        <v>45082</v>
      </c>
    </row>
    <row r="32" spans="19:29" x14ac:dyDescent="0.2">
      <c r="S32" s="2" t="str">
        <f>Stock3</f>
        <v>XASX:ACL</v>
      </c>
      <c r="T32" s="48"/>
      <c r="U32" s="48"/>
      <c r="V32" s="48"/>
      <c r="W32" s="48"/>
      <c r="X32" s="48"/>
      <c r="Y32" s="48"/>
      <c r="Z32" s="48"/>
      <c r="AA32" s="48"/>
      <c r="AB32" s="48"/>
      <c r="AC32" s="48"/>
    </row>
    <row r="33" spans="18:29" x14ac:dyDescent="0.2">
      <c r="S33" s="2" t="str">
        <f>Stock4</f>
        <v>XASX:MVF</v>
      </c>
      <c r="T33" s="48"/>
      <c r="U33" s="48"/>
      <c r="V33" s="48"/>
      <c r="W33" s="48"/>
      <c r="X33" s="48"/>
      <c r="Y33" s="48"/>
      <c r="Z33" s="48"/>
      <c r="AA33" s="48"/>
      <c r="AB33" s="48"/>
      <c r="AC33" s="48"/>
    </row>
    <row r="35" spans="18:29" ht="16" x14ac:dyDescent="0.2">
      <c r="R35" s="7" t="s">
        <v>7</v>
      </c>
      <c r="S35" s="5" t="s">
        <v>9</v>
      </c>
    </row>
    <row r="37" spans="18:29" x14ac:dyDescent="0.2">
      <c r="T37" s="2" t="str">
        <f>Stock3</f>
        <v>XASX:ACL</v>
      </c>
      <c r="U37" s="2" t="str">
        <f>Stock4</f>
        <v>XASX:MVF</v>
      </c>
    </row>
    <row r="38" spans="18:29" x14ac:dyDescent="0.2">
      <c r="S38" s="4">
        <f t="array" ref="S38:S47">Stock_Dates</f>
        <v>45019</v>
      </c>
      <c r="T38" s="49"/>
      <c r="U38" s="49"/>
    </row>
    <row r="39" spans="18:29" x14ac:dyDescent="0.2">
      <c r="S39" s="4">
        <v>45026</v>
      </c>
      <c r="T39" s="49"/>
      <c r="U39" s="49"/>
    </row>
    <row r="40" spans="18:29" x14ac:dyDescent="0.2">
      <c r="S40" s="4">
        <v>45033</v>
      </c>
      <c r="T40" s="49"/>
      <c r="U40" s="49"/>
    </row>
    <row r="41" spans="18:29" x14ac:dyDescent="0.2">
      <c r="S41" s="4">
        <v>45040</v>
      </c>
      <c r="T41" s="49"/>
      <c r="U41" s="49"/>
    </row>
    <row r="42" spans="18:29" x14ac:dyDescent="0.2">
      <c r="S42" s="4">
        <v>45047</v>
      </c>
      <c r="T42" s="49"/>
      <c r="U42" s="49"/>
    </row>
    <row r="43" spans="18:29" x14ac:dyDescent="0.2">
      <c r="S43" s="4">
        <v>45054</v>
      </c>
      <c r="T43" s="49"/>
      <c r="U43" s="49"/>
    </row>
    <row r="44" spans="18:29" x14ac:dyDescent="0.2">
      <c r="S44" s="4">
        <v>45061</v>
      </c>
      <c r="T44" s="49"/>
      <c r="U44" s="49"/>
    </row>
    <row r="45" spans="18:29" x14ac:dyDescent="0.2">
      <c r="S45" s="4">
        <v>45068</v>
      </c>
      <c r="T45" s="49"/>
      <c r="U45" s="49"/>
    </row>
    <row r="46" spans="18:29" x14ac:dyDescent="0.2">
      <c r="S46" s="4">
        <v>45075</v>
      </c>
      <c r="T46" s="49"/>
      <c r="U46" s="49"/>
    </row>
    <row r="47" spans="18:29" x14ac:dyDescent="0.2">
      <c r="S47" s="4">
        <v>45082</v>
      </c>
      <c r="T47" s="49"/>
      <c r="U47" s="49"/>
    </row>
  </sheetData>
  <sheetProtection algorithmName="SHA-512" hashValue="AWbLrGYwoxn5iiY/oSexPI6uSI5pqXEOHkIx/mCafsw84f8F+2mWbfkjWlxEy/i4HzRg9/Y1Htt4rd+w4mKkGQ==" saltValue="7jITlm4KMA384TtKvk9US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O12:Z47"/>
  <sheetViews>
    <sheetView topLeftCell="B8" zoomScale="50" zoomScaleNormal="50" workbookViewId="0">
      <selection activeCell="C20" activeCellId="1" sqref="C26:E37 C20:L22"/>
    </sheetView>
  </sheetViews>
  <sheetFormatPr baseColWidth="10" defaultColWidth="9.1640625" defaultRowHeight="15" x14ac:dyDescent="0.2"/>
  <cols>
    <col min="15" max="15" width="11" bestFit="1" customWidth="1"/>
    <col min="16" max="26" width="12.83203125" customWidth="1"/>
  </cols>
  <sheetData>
    <row r="12" spans="15:18" ht="16" x14ac:dyDescent="0.2">
      <c r="O12" s="7" t="s">
        <v>0</v>
      </c>
      <c r="P12" s="1" t="str">
        <f>"Weekly returns for "&amp;Stock5&amp;" and "&amp;Stock6&amp;" are available below"</f>
        <v>Weekly returns for XASX:BCB and XASX:PLS are available below</v>
      </c>
    </row>
    <row r="13" spans="15:18" ht="16" x14ac:dyDescent="0.2">
      <c r="O13" s="7"/>
      <c r="P13" s="1"/>
    </row>
    <row r="14" spans="15:18" x14ac:dyDescent="0.2">
      <c r="Q14" s="2" t="str">
        <f>Stock5</f>
        <v>XASX:BCB</v>
      </c>
      <c r="R14" s="2" t="str">
        <f>Stock6</f>
        <v>XASX:PLS</v>
      </c>
    </row>
    <row r="15" spans="15:18" x14ac:dyDescent="0.2">
      <c r="P15" s="4">
        <f t="array" ref="P15:P24">Stock_Dates</f>
        <v>45019</v>
      </c>
      <c r="Q15" s="8">
        <f t="array" ref="Q15:Q24">Stock5_Data</f>
        <v>3.9220713153281329E-2</v>
      </c>
      <c r="R15" s="8">
        <f t="array" ref="R15:R24">Stock6_Data</f>
        <v>-8.7472950965052865E-2</v>
      </c>
    </row>
    <row r="16" spans="15:18" x14ac:dyDescent="0.2">
      <c r="P16" s="4">
        <v>45026</v>
      </c>
      <c r="Q16" s="8">
        <v>-1.9418085857101627E-2</v>
      </c>
      <c r="R16" s="8">
        <v>3.8048067637529964E-2</v>
      </c>
    </row>
    <row r="17" spans="15:26" x14ac:dyDescent="0.2">
      <c r="P17" s="4">
        <v>45033</v>
      </c>
      <c r="Q17" s="8">
        <v>-4.0005334613699248E-2</v>
      </c>
      <c r="R17" s="8">
        <v>6.9526062648610096E-2</v>
      </c>
    </row>
    <row r="18" spans="15:26" x14ac:dyDescent="0.2">
      <c r="P18" s="4">
        <v>45040</v>
      </c>
      <c r="Q18" s="8">
        <v>2.0202707317519469E-2</v>
      </c>
      <c r="R18" s="8">
        <v>5.3281366612936781E-2</v>
      </c>
    </row>
    <row r="19" spans="15:26" x14ac:dyDescent="0.2">
      <c r="P19" s="4">
        <v>45047</v>
      </c>
      <c r="Q19" s="8">
        <v>-0.12783337150988489</v>
      </c>
      <c r="R19" s="8">
        <v>3.7041271680349076E-2</v>
      </c>
    </row>
    <row r="20" spans="15:26" x14ac:dyDescent="0.2">
      <c r="P20" s="4">
        <v>45054</v>
      </c>
      <c r="Q20" s="8">
        <v>0</v>
      </c>
      <c r="R20" s="8">
        <v>8.2836005579149177E-2</v>
      </c>
    </row>
    <row r="21" spans="15:26" x14ac:dyDescent="0.2">
      <c r="P21" s="4">
        <v>45061</v>
      </c>
      <c r="Q21" s="8">
        <v>-4.6520015634892928E-2</v>
      </c>
      <c r="R21" s="8">
        <v>4.2995363260062668E-2</v>
      </c>
    </row>
    <row r="22" spans="15:26" x14ac:dyDescent="0.2">
      <c r="P22" s="4">
        <v>45068</v>
      </c>
      <c r="Q22" s="8">
        <v>4.6520015634892907E-2</v>
      </c>
      <c r="R22" s="8">
        <v>-9.4508897710170653E-2</v>
      </c>
    </row>
    <row r="23" spans="15:26" x14ac:dyDescent="0.2">
      <c r="P23" s="4">
        <v>45075</v>
      </c>
      <c r="Q23" s="8">
        <v>0</v>
      </c>
      <c r="R23" s="8">
        <v>-1.5538603427779161E-2</v>
      </c>
    </row>
    <row r="24" spans="15:26" x14ac:dyDescent="0.2">
      <c r="P24" s="4">
        <v>45082</v>
      </c>
      <c r="Q24" s="8">
        <v>-0.2876820724517809</v>
      </c>
      <c r="R24" s="8">
        <v>6.0756209421072432E-2</v>
      </c>
    </row>
    <row r="26" spans="15:26" x14ac:dyDescent="0.2">
      <c r="P26" s="10" t="s">
        <v>8</v>
      </c>
    </row>
    <row r="28" spans="15:26" x14ac:dyDescent="0.2">
      <c r="Q28" s="4">
        <f t="array" ref="Q28:Z28">TRANSPOSE(Stock_Dates)</f>
        <v>45019</v>
      </c>
      <c r="R28" s="4">
        <v>45026</v>
      </c>
      <c r="S28" s="4">
        <v>45033</v>
      </c>
      <c r="T28" s="4">
        <v>45040</v>
      </c>
      <c r="U28" s="4">
        <v>45047</v>
      </c>
      <c r="V28" s="4">
        <v>45054</v>
      </c>
      <c r="W28" s="4">
        <v>45061</v>
      </c>
      <c r="X28" s="4">
        <v>45068</v>
      </c>
      <c r="Y28" s="4">
        <v>45075</v>
      </c>
      <c r="Z28" s="4">
        <v>45082</v>
      </c>
    </row>
    <row r="29" spans="15:26" x14ac:dyDescent="0.2">
      <c r="P29" s="2" t="str">
        <f>Stock5</f>
        <v>XASX:BCB</v>
      </c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5:26" x14ac:dyDescent="0.2">
      <c r="P30" s="2" t="str">
        <f>Stock6</f>
        <v>XASX:PLS</v>
      </c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2" spans="15:26" ht="16" x14ac:dyDescent="0.2">
      <c r="O32" s="7" t="s">
        <v>7</v>
      </c>
      <c r="P32" s="5" t="s">
        <v>9</v>
      </c>
    </row>
    <row r="34" spans="16:18" x14ac:dyDescent="0.2">
      <c r="Q34" s="2" t="str">
        <f>Stock5</f>
        <v>XASX:BCB</v>
      </c>
      <c r="R34" s="2" t="str">
        <f>Stock6</f>
        <v>XASX:PLS</v>
      </c>
    </row>
    <row r="35" spans="16:18" x14ac:dyDescent="0.2">
      <c r="P35" s="4">
        <f t="array" ref="P35:P44">Stock_Dates</f>
        <v>45019</v>
      </c>
      <c r="Q35" s="49"/>
      <c r="R35" s="49"/>
    </row>
    <row r="36" spans="16:18" x14ac:dyDescent="0.2">
      <c r="P36" s="4">
        <v>45026</v>
      </c>
      <c r="Q36" s="49"/>
      <c r="R36" s="49"/>
    </row>
    <row r="37" spans="16:18" x14ac:dyDescent="0.2">
      <c r="P37" s="4">
        <v>45033</v>
      </c>
      <c r="Q37" s="49"/>
      <c r="R37" s="49"/>
    </row>
    <row r="38" spans="16:18" x14ac:dyDescent="0.2">
      <c r="P38" s="4">
        <v>45040</v>
      </c>
      <c r="Q38" s="49"/>
      <c r="R38" s="49"/>
    </row>
    <row r="39" spans="16:18" x14ac:dyDescent="0.2">
      <c r="P39" s="4">
        <v>45047</v>
      </c>
      <c r="Q39" s="49"/>
      <c r="R39" s="49"/>
    </row>
    <row r="40" spans="16:18" x14ac:dyDescent="0.2">
      <c r="P40" s="4">
        <v>45054</v>
      </c>
      <c r="Q40" s="49"/>
      <c r="R40" s="49"/>
    </row>
    <row r="41" spans="16:18" x14ac:dyDescent="0.2">
      <c r="P41" s="4">
        <v>45061</v>
      </c>
      <c r="Q41" s="49"/>
      <c r="R41" s="49"/>
    </row>
    <row r="42" spans="16:18" x14ac:dyDescent="0.2">
      <c r="P42" s="4">
        <v>45068</v>
      </c>
      <c r="Q42" s="49"/>
      <c r="R42" s="49"/>
    </row>
    <row r="43" spans="16:18" x14ac:dyDescent="0.2">
      <c r="P43" s="4">
        <v>45075</v>
      </c>
      <c r="Q43" s="49"/>
      <c r="R43" s="49"/>
    </row>
    <row r="44" spans="16:18" x14ac:dyDescent="0.2">
      <c r="P44" s="4">
        <v>45082</v>
      </c>
      <c r="Q44" s="49"/>
      <c r="R44" s="49"/>
    </row>
    <row r="47" spans="16:18" x14ac:dyDescent="0.2">
      <c r="P47" s="3"/>
    </row>
  </sheetData>
  <sheetProtection algorithmName="SHA-512" hashValue="lEwNqofrgmCyDqKxVDYKN+FvYNnn5rlAE1lN+vARz47TqHe4Yrz2UvoFCfTXDPTADMQvZaNRKyP59ZcVX4UjwQ==" saltValue="6StyP4JTFR3sQ9G3OrIHy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G4:M38"/>
  <sheetViews>
    <sheetView topLeftCell="A10" zoomScale="125" zoomScaleNormal="50" workbookViewId="0">
      <selection activeCell="I32" sqref="I32"/>
    </sheetView>
  </sheetViews>
  <sheetFormatPr baseColWidth="10" defaultColWidth="8.83203125" defaultRowHeight="15" x14ac:dyDescent="0.2"/>
  <cols>
    <col min="7" max="7" width="12.83203125" customWidth="1"/>
    <col min="8" max="13" width="10.6640625" customWidth="1"/>
    <col min="14" max="15" width="12.83203125" customWidth="1"/>
  </cols>
  <sheetData>
    <row r="4" spans="7:13" ht="16" x14ac:dyDescent="0.2">
      <c r="G4" s="7" t="s">
        <v>0</v>
      </c>
      <c r="H4" s="1" t="str">
        <f>"The cells below provide the weekly mean, variance and standard deviation"</f>
        <v>The cells below provide the weekly mean, variance and standard deviation</v>
      </c>
    </row>
    <row r="5" spans="7:13" x14ac:dyDescent="0.2">
      <c r="H5" s="1" t="str">
        <f>"of "&amp;Stock1&amp;" and "&amp;Stock2&amp;" returns"</f>
        <v>of XASX:GEM and XASX:JIN returns</v>
      </c>
      <c r="K5" s="3"/>
      <c r="L5" s="2"/>
      <c r="M5" s="11"/>
    </row>
    <row r="7" spans="7:13" x14ac:dyDescent="0.2">
      <c r="I7" s="2" t="str">
        <f>Stock1</f>
        <v>XASX:GEM</v>
      </c>
      <c r="J7" s="2" t="str">
        <f>Stock2</f>
        <v>XASX:JIN</v>
      </c>
    </row>
    <row r="8" spans="7:13" x14ac:dyDescent="0.2">
      <c r="H8" s="2" t="s">
        <v>10</v>
      </c>
      <c r="I8" s="8">
        <f>AVERAGE(Stock1_Data)</f>
        <v>-1.7573174711489923E-2</v>
      </c>
      <c r="J8" s="8">
        <f>AVERAGE(Stock2_Data)</f>
        <v>1.5415067982725817E-2</v>
      </c>
    </row>
    <row r="9" spans="7:13" x14ac:dyDescent="0.2">
      <c r="H9" s="2" t="s">
        <v>11</v>
      </c>
      <c r="I9" s="8">
        <f>VAR(Stock1_Data)</f>
        <v>6.2977697315982093E-4</v>
      </c>
      <c r="J9" s="8">
        <f>VAR(Stock2_Data)</f>
        <v>1.5200195828624702E-3</v>
      </c>
    </row>
    <row r="10" spans="7:13" x14ac:dyDescent="0.2">
      <c r="H10" s="2" t="s">
        <v>12</v>
      </c>
      <c r="I10" s="8">
        <f>STDEV(Stock1_Data)</f>
        <v>2.5095357601752181E-2</v>
      </c>
      <c r="J10" s="8">
        <f>STDEV(Stock2_Data)</f>
        <v>3.8987428523339036E-2</v>
      </c>
    </row>
    <row r="12" spans="7:13" x14ac:dyDescent="0.2">
      <c r="H12" s="5" t="s">
        <v>13</v>
      </c>
    </row>
    <row r="13" spans="7:13" x14ac:dyDescent="0.2">
      <c r="H13" s="5" t="str">
        <f>"portfolios that combines various combinations of " &amp; Stock1 &amp; " and " &amp; Stock2</f>
        <v>portfolios that combines various combinations of XASX:GEM and XASX:JIN</v>
      </c>
    </row>
    <row r="15" spans="7:13" x14ac:dyDescent="0.2">
      <c r="G15" s="1" t="s">
        <v>14</v>
      </c>
      <c r="H15" s="53" t="str">
        <f>"Proportion of " &amp; Stock1</f>
        <v>Proportion of XASX:GEM</v>
      </c>
      <c r="I15" s="54">
        <v>0.5</v>
      </c>
    </row>
    <row r="16" spans="7:13" ht="28" customHeight="1" x14ac:dyDescent="0.2">
      <c r="H16" s="53"/>
      <c r="I16" s="54"/>
    </row>
    <row r="17" spans="7:10" x14ac:dyDescent="0.2">
      <c r="H17" s="53" t="str">
        <f>"Proportion of " &amp; Stock2</f>
        <v>Proportion of XASX:JIN</v>
      </c>
      <c r="J17" s="1" t="s">
        <v>15</v>
      </c>
    </row>
    <row r="18" spans="7:10" x14ac:dyDescent="0.2">
      <c r="H18" s="53"/>
      <c r="I18" s="14">
        <f>1-Stock1_Proportion</f>
        <v>0.5</v>
      </c>
      <c r="J18" s="1" t="s">
        <v>16</v>
      </c>
    </row>
    <row r="20" spans="7:10" x14ac:dyDescent="0.2">
      <c r="G20" s="1" t="s">
        <v>17</v>
      </c>
      <c r="H20" s="53" t="s">
        <v>18</v>
      </c>
      <c r="J20" s="1" t="s">
        <v>19</v>
      </c>
    </row>
    <row r="21" spans="7:10" x14ac:dyDescent="0.2">
      <c r="H21" s="53"/>
      <c r="I21" s="9">
        <f>Stock1_Proportion*I8+I18*J8</f>
        <v>-1.0790533643820531E-3</v>
      </c>
    </row>
    <row r="23" spans="7:10" x14ac:dyDescent="0.2">
      <c r="H23" s="1" t="s">
        <v>20</v>
      </c>
    </row>
    <row r="24" spans="7:10" ht="15" customHeight="1" x14ac:dyDescent="0.2"/>
    <row r="25" spans="7:10" ht="15" customHeight="1" x14ac:dyDescent="0.2">
      <c r="H25" s="53" t="str">
        <f>"Proportion of " &amp; Stock1</f>
        <v>Proportion of XASX:GEM</v>
      </c>
      <c r="I25" s="53" t="s">
        <v>18</v>
      </c>
    </row>
    <row r="26" spans="7:10" x14ac:dyDescent="0.2">
      <c r="H26" s="53"/>
      <c r="I26" s="53"/>
    </row>
    <row r="27" spans="7:10" x14ac:dyDescent="0.2">
      <c r="G27" s="13"/>
      <c r="H27" s="14">
        <f>Stock1_Proportion</f>
        <v>0.5</v>
      </c>
      <c r="I27" s="9">
        <f>Portfolio_Mean1</f>
        <v>-1.0790533643820531E-3</v>
      </c>
      <c r="J27" s="12"/>
    </row>
    <row r="28" spans="7:10" x14ac:dyDescent="0.2">
      <c r="H28" s="14">
        <v>0</v>
      </c>
      <c r="I28" s="9">
        <f t="dataTable" ref="I28:I38" dt2D="0" dtr="0" r1="I15"/>
        <v>1.5415067982725817E-2</v>
      </c>
    </row>
    <row r="29" spans="7:10" x14ac:dyDescent="0.2">
      <c r="H29" s="14">
        <v>0.1</v>
      </c>
      <c r="I29" s="9">
        <v>1.2116243713304243E-2</v>
      </c>
    </row>
    <row r="30" spans="7:10" x14ac:dyDescent="0.2">
      <c r="H30" s="14">
        <v>0.2</v>
      </c>
      <c r="I30" s="9">
        <v>8.8174194438826684E-3</v>
      </c>
    </row>
    <row r="31" spans="7:10" x14ac:dyDescent="0.2">
      <c r="H31" s="14">
        <v>0.3</v>
      </c>
      <c r="I31" s="9">
        <v>5.5185951744610934E-3</v>
      </c>
    </row>
    <row r="32" spans="7:10" x14ac:dyDescent="0.2">
      <c r="H32" s="14">
        <v>0.4</v>
      </c>
      <c r="I32" s="9">
        <v>2.2197709050395193E-3</v>
      </c>
    </row>
    <row r="33" spans="8:9" x14ac:dyDescent="0.2">
      <c r="H33" s="14">
        <v>0.5</v>
      </c>
      <c r="I33" s="9">
        <v>-1.0790533643820531E-3</v>
      </c>
    </row>
    <row r="34" spans="8:9" x14ac:dyDescent="0.2">
      <c r="H34" s="14">
        <v>0.6</v>
      </c>
      <c r="I34" s="9">
        <v>-4.3778776338036273E-3</v>
      </c>
    </row>
    <row r="35" spans="8:9" x14ac:dyDescent="0.2">
      <c r="H35" s="14">
        <v>0.7</v>
      </c>
      <c r="I35" s="9">
        <v>-7.6767019032251997E-3</v>
      </c>
    </row>
    <row r="36" spans="8:9" x14ac:dyDescent="0.2">
      <c r="H36" s="14">
        <v>0.8</v>
      </c>
      <c r="I36" s="9">
        <v>-1.0975526172646776E-2</v>
      </c>
    </row>
    <row r="37" spans="8:9" x14ac:dyDescent="0.2">
      <c r="H37" s="14">
        <v>0.9</v>
      </c>
      <c r="I37" s="9">
        <v>-1.4274350442068349E-2</v>
      </c>
    </row>
    <row r="38" spans="8:9" x14ac:dyDescent="0.2">
      <c r="H38" s="14">
        <v>1</v>
      </c>
      <c r="I38" s="9">
        <v>-1.7573174711489923E-2</v>
      </c>
    </row>
  </sheetData>
  <mergeCells count="6">
    <mergeCell ref="I25:I26"/>
    <mergeCell ref="H25:H26"/>
    <mergeCell ref="H15:H16"/>
    <mergeCell ref="I15:I16"/>
    <mergeCell ref="H17:H18"/>
    <mergeCell ref="H20:H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D21:J55"/>
  <sheetViews>
    <sheetView topLeftCell="A9" zoomScale="50" zoomScaleNormal="50" workbookViewId="0">
      <selection activeCell="C27" activeCellId="2" sqref="C17 C20 C27:D39"/>
    </sheetView>
  </sheetViews>
  <sheetFormatPr baseColWidth="10" defaultColWidth="8.83203125" defaultRowHeight="15" x14ac:dyDescent="0.2"/>
  <cols>
    <col min="4" max="10" width="12.83203125" customWidth="1"/>
  </cols>
  <sheetData>
    <row r="21" spans="4:10" ht="16" x14ac:dyDescent="0.2">
      <c r="D21" s="7" t="s">
        <v>0</v>
      </c>
      <c r="E21" s="1" t="str">
        <f>"The cells below provide the weekly mean, variance and standard deviation"</f>
        <v>The cells below provide the weekly mean, variance and standard deviation</v>
      </c>
    </row>
    <row r="22" spans="4:10" x14ac:dyDescent="0.2">
      <c r="E22" s="1" t="str">
        <f>"of "&amp;Stock3&amp;" and "&amp;Stock4&amp;" returns"</f>
        <v>of XASX:ACL and XASX:MVF returns</v>
      </c>
      <c r="H22" s="3"/>
      <c r="I22" s="2"/>
      <c r="J22" s="11"/>
    </row>
    <row r="24" spans="4:10" x14ac:dyDescent="0.2">
      <c r="F24" s="2" t="str">
        <f>Stock3</f>
        <v>XASX:ACL</v>
      </c>
      <c r="G24" s="2" t="str">
        <f>Stock4</f>
        <v>XASX:MVF</v>
      </c>
    </row>
    <row r="25" spans="4:10" x14ac:dyDescent="0.2">
      <c r="E25" s="2" t="s">
        <v>10</v>
      </c>
      <c r="F25" s="8">
        <f>AVERAGE(Stock3_Data)</f>
        <v>-5.5327063956596258E-3</v>
      </c>
      <c r="G25" s="8">
        <f>AVERAGE(Stock4_Data)</f>
        <v>6.3369613932589232E-3</v>
      </c>
    </row>
    <row r="26" spans="4:10" x14ac:dyDescent="0.2">
      <c r="E26" s="2" t="s">
        <v>11</v>
      </c>
      <c r="F26" s="8">
        <f>VAR(Stock3_Data)</f>
        <v>1.5182539905283534E-3</v>
      </c>
      <c r="G26" s="8">
        <f>VAR(Stock4_Data)</f>
        <v>7.8303607617977286E-4</v>
      </c>
    </row>
    <row r="27" spans="4:10" x14ac:dyDescent="0.2">
      <c r="E27" s="2" t="s">
        <v>12</v>
      </c>
      <c r="F27" s="8">
        <f>STDEV(Stock3_Data)</f>
        <v>3.8964778846136847E-2</v>
      </c>
      <c r="G27" s="8">
        <f>STDEV(Stock4_Data)</f>
        <v>2.7982781780583804E-2</v>
      </c>
    </row>
    <row r="29" spans="4:10" x14ac:dyDescent="0.2">
      <c r="E29" s="5" t="s">
        <v>13</v>
      </c>
    </row>
    <row r="30" spans="4:10" x14ac:dyDescent="0.2">
      <c r="E30" s="5" t="str">
        <f>"portfolios that combines various combinations of " &amp; Stock3 &amp; " and " &amp; Stock4</f>
        <v>portfolios that combines various combinations of XASX:ACL and XASX:MVF</v>
      </c>
    </row>
    <row r="32" spans="4:10" x14ac:dyDescent="0.2">
      <c r="D32" s="1" t="s">
        <v>14</v>
      </c>
      <c r="E32" s="53" t="str">
        <f>"Proportion of " &amp; Stock3</f>
        <v>Proportion of XASX:ACL</v>
      </c>
      <c r="F32" s="54">
        <v>0.5</v>
      </c>
    </row>
    <row r="33" spans="4:7" x14ac:dyDescent="0.2">
      <c r="E33" s="53"/>
      <c r="F33" s="54"/>
    </row>
    <row r="34" spans="4:7" x14ac:dyDescent="0.2">
      <c r="E34" s="53" t="str">
        <f>"Proportion of " &amp; Stock4</f>
        <v>Proportion of XASX:MVF</v>
      </c>
      <c r="G34" s="1" t="s">
        <v>15</v>
      </c>
    </row>
    <row r="35" spans="4:7" x14ac:dyDescent="0.2">
      <c r="E35" s="53"/>
      <c r="F35" s="14"/>
      <c r="G35" s="1" t="s">
        <v>16</v>
      </c>
    </row>
    <row r="37" spans="4:7" x14ac:dyDescent="0.2">
      <c r="D37" s="1" t="s">
        <v>17</v>
      </c>
      <c r="E37" s="53" t="s">
        <v>18</v>
      </c>
      <c r="G37" s="1" t="s">
        <v>19</v>
      </c>
    </row>
    <row r="38" spans="4:7" x14ac:dyDescent="0.2">
      <c r="E38" s="53"/>
      <c r="F38" s="9"/>
    </row>
    <row r="40" spans="4:7" x14ac:dyDescent="0.2">
      <c r="E40" s="1" t="s">
        <v>20</v>
      </c>
    </row>
    <row r="42" spans="4:7" x14ac:dyDescent="0.2">
      <c r="E42" s="53" t="str">
        <f>"Proportion of " &amp; Stock3</f>
        <v>Proportion of XASX:ACL</v>
      </c>
      <c r="F42" s="53" t="s">
        <v>18</v>
      </c>
    </row>
    <row r="43" spans="4:7" x14ac:dyDescent="0.2">
      <c r="E43" s="53"/>
      <c r="F43" s="53"/>
    </row>
    <row r="44" spans="4:7" x14ac:dyDescent="0.2">
      <c r="D44" s="13"/>
      <c r="E44" s="14">
        <f>Stock3_Proportion</f>
        <v>0.5</v>
      </c>
      <c r="F44" s="9">
        <f>Portfolio_Mean2</f>
        <v>0</v>
      </c>
      <c r="G44" s="12"/>
    </row>
    <row r="45" spans="4:7" x14ac:dyDescent="0.2">
      <c r="E45" s="14">
        <v>0</v>
      </c>
      <c r="F45" s="9"/>
    </row>
    <row r="46" spans="4:7" x14ac:dyDescent="0.2">
      <c r="E46" s="14">
        <v>0.1</v>
      </c>
      <c r="F46" s="9"/>
    </row>
    <row r="47" spans="4:7" x14ac:dyDescent="0.2">
      <c r="E47" s="14">
        <v>0.2</v>
      </c>
      <c r="F47" s="9"/>
    </row>
    <row r="48" spans="4:7" x14ac:dyDescent="0.2">
      <c r="E48" s="14">
        <v>0.3</v>
      </c>
      <c r="F48" s="9"/>
    </row>
    <row r="49" spans="5:6" x14ac:dyDescent="0.2">
      <c r="E49" s="14">
        <v>0.4</v>
      </c>
      <c r="F49" s="9"/>
    </row>
    <row r="50" spans="5:6" x14ac:dyDescent="0.2">
      <c r="E50" s="14">
        <v>0.5</v>
      </c>
      <c r="F50" s="9"/>
    </row>
    <row r="51" spans="5:6" x14ac:dyDescent="0.2">
      <c r="E51" s="14">
        <v>0.6</v>
      </c>
      <c r="F51" s="9"/>
    </row>
    <row r="52" spans="5:6" x14ac:dyDescent="0.2">
      <c r="E52" s="14">
        <v>0.7</v>
      </c>
      <c r="F52" s="9"/>
    </row>
    <row r="53" spans="5:6" x14ac:dyDescent="0.2">
      <c r="E53" s="14">
        <v>0.8</v>
      </c>
      <c r="F53" s="9"/>
    </row>
    <row r="54" spans="5:6" x14ac:dyDescent="0.2">
      <c r="E54" s="14">
        <v>0.9</v>
      </c>
      <c r="F54" s="9"/>
    </row>
    <row r="55" spans="5:6" x14ac:dyDescent="0.2">
      <c r="E55" s="14">
        <v>1</v>
      </c>
      <c r="F55" s="9"/>
    </row>
  </sheetData>
  <mergeCells count="6">
    <mergeCell ref="E42:E43"/>
    <mergeCell ref="F42:F43"/>
    <mergeCell ref="E32:E33"/>
    <mergeCell ref="F32:F33"/>
    <mergeCell ref="E34:E35"/>
    <mergeCell ref="E37:E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8:G52"/>
  <sheetViews>
    <sheetView topLeftCell="A43" zoomScale="50" zoomScaleNormal="50" workbookViewId="0">
      <selection activeCell="K21" sqref="K21"/>
    </sheetView>
  </sheetViews>
  <sheetFormatPr baseColWidth="10" defaultColWidth="9.1640625" defaultRowHeight="15" x14ac:dyDescent="0.2"/>
  <cols>
    <col min="1" max="1" width="12.83203125" customWidth="1"/>
    <col min="2" max="7" width="10.6640625" customWidth="1"/>
    <col min="8" max="9" width="12.83203125" customWidth="1"/>
  </cols>
  <sheetData>
    <row r="18" spans="1:7" ht="16" x14ac:dyDescent="0.2">
      <c r="A18" s="7" t="s">
        <v>0</v>
      </c>
      <c r="B18" s="1" t="str">
        <f>"The cells below provide the weekly mean, variance and standard deviation"</f>
        <v>The cells below provide the weekly mean, variance and standard deviation</v>
      </c>
    </row>
    <row r="19" spans="1:7" x14ac:dyDescent="0.2">
      <c r="B19" s="1" t="str">
        <f>"of "&amp;Stock5&amp;" and "&amp;Stock6&amp;" returns"</f>
        <v>of XASX:BCB and XASX:PLS returns</v>
      </c>
      <c r="E19" s="3"/>
      <c r="F19" s="2"/>
      <c r="G19" s="11"/>
    </row>
    <row r="21" spans="1:7" x14ac:dyDescent="0.2">
      <c r="C21" s="2" t="str">
        <f>Stock5</f>
        <v>XASX:BCB</v>
      </c>
      <c r="D21" s="2" t="str">
        <f>Stock6</f>
        <v>XASX:PLS</v>
      </c>
    </row>
    <row r="22" spans="1:7" x14ac:dyDescent="0.2">
      <c r="B22" s="2" t="s">
        <v>10</v>
      </c>
      <c r="C22" s="8">
        <f>AVERAGE(Stock5_Data)</f>
        <v>-4.1551544396166581E-2</v>
      </c>
      <c r="D22" s="8">
        <f>AVERAGE(Stock6_Data)</f>
        <v>1.8696389473670756E-2</v>
      </c>
    </row>
    <row r="23" spans="1:7" x14ac:dyDescent="0.2">
      <c r="B23" s="2" t="s">
        <v>11</v>
      </c>
      <c r="C23" s="8">
        <f>VAR(Stock5_Data)</f>
        <v>1.0009907061458715E-2</v>
      </c>
      <c r="D23" s="8">
        <f>VAR(Stock6_Data)</f>
        <v>4.0248397821665413E-3</v>
      </c>
    </row>
    <row r="24" spans="1:7" x14ac:dyDescent="0.2">
      <c r="B24" s="2" t="s">
        <v>12</v>
      </c>
      <c r="C24" s="8">
        <f>STDEV(Stock5_Data)</f>
        <v>0.10004952304463383</v>
      </c>
      <c r="D24" s="8">
        <f>STDEV(Stock6_Data)</f>
        <v>6.3441624996263629E-2</v>
      </c>
    </row>
    <row r="26" spans="1:7" x14ac:dyDescent="0.2">
      <c r="B26" s="5" t="s">
        <v>13</v>
      </c>
    </row>
    <row r="27" spans="1:7" x14ac:dyDescent="0.2">
      <c r="B27" s="5" t="str">
        <f>"portfolios that combines various combinations of " &amp; Stock5 &amp; " and " &amp; Stock6</f>
        <v>portfolios that combines various combinations of XASX:BCB and XASX:PLS</v>
      </c>
    </row>
    <row r="29" spans="1:7" x14ac:dyDescent="0.2">
      <c r="A29" s="1" t="s">
        <v>14</v>
      </c>
      <c r="B29" s="53" t="str">
        <f>"Proportion of " &amp; Stock5</f>
        <v>Proportion of XASX:BCB</v>
      </c>
      <c r="C29" s="54">
        <v>0.5</v>
      </c>
    </row>
    <row r="30" spans="1:7" x14ac:dyDescent="0.2">
      <c r="B30" s="53"/>
      <c r="C30" s="54"/>
    </row>
    <row r="31" spans="1:7" x14ac:dyDescent="0.2">
      <c r="B31" s="53" t="str">
        <f>"Proportion of " &amp; Stock6</f>
        <v>Proportion of XASX:PLS</v>
      </c>
      <c r="D31" s="1" t="s">
        <v>15</v>
      </c>
    </row>
    <row r="32" spans="1:7" x14ac:dyDescent="0.2">
      <c r="B32" s="53"/>
      <c r="C32" s="14"/>
      <c r="D32" s="1" t="s">
        <v>16</v>
      </c>
    </row>
    <row r="34" spans="1:4" x14ac:dyDescent="0.2">
      <c r="A34" s="1" t="s">
        <v>17</v>
      </c>
      <c r="B34" s="53" t="s">
        <v>18</v>
      </c>
      <c r="D34" s="1" t="s">
        <v>19</v>
      </c>
    </row>
    <row r="35" spans="1:4" x14ac:dyDescent="0.2">
      <c r="B35" s="53"/>
      <c r="C35" s="9"/>
    </row>
    <row r="37" spans="1:4" x14ac:dyDescent="0.2">
      <c r="B37" s="1" t="s">
        <v>20</v>
      </c>
    </row>
    <row r="39" spans="1:4" x14ac:dyDescent="0.2">
      <c r="B39" s="53" t="str">
        <f>"Proportion of " &amp; Stock5</f>
        <v>Proportion of XASX:BCB</v>
      </c>
      <c r="C39" s="53" t="s">
        <v>18</v>
      </c>
    </row>
    <row r="40" spans="1:4" x14ac:dyDescent="0.2">
      <c r="B40" s="53"/>
      <c r="C40" s="53"/>
    </row>
    <row r="41" spans="1:4" x14ac:dyDescent="0.2">
      <c r="A41" s="13"/>
      <c r="B41" s="14">
        <f>Stock5_Proportion</f>
        <v>0.5</v>
      </c>
      <c r="C41" s="9">
        <f>Portfolio_Mean3</f>
        <v>0</v>
      </c>
      <c r="D41" s="12"/>
    </row>
    <row r="42" spans="1:4" x14ac:dyDescent="0.2">
      <c r="B42" s="14">
        <v>0</v>
      </c>
      <c r="C42" s="9"/>
    </row>
    <row r="43" spans="1:4" x14ac:dyDescent="0.2">
      <c r="B43" s="14">
        <v>0.1</v>
      </c>
      <c r="C43" s="9"/>
    </row>
    <row r="44" spans="1:4" x14ac:dyDescent="0.2">
      <c r="B44" s="14">
        <v>0.2</v>
      </c>
      <c r="C44" s="9"/>
    </row>
    <row r="45" spans="1:4" x14ac:dyDescent="0.2">
      <c r="B45" s="14">
        <v>0.3</v>
      </c>
      <c r="C45" s="9"/>
    </row>
    <row r="46" spans="1:4" x14ac:dyDescent="0.2">
      <c r="B46" s="14">
        <v>0.4</v>
      </c>
      <c r="C46" s="9"/>
    </row>
    <row r="47" spans="1:4" x14ac:dyDescent="0.2">
      <c r="B47" s="14">
        <v>0.5</v>
      </c>
      <c r="C47" s="9"/>
    </row>
    <row r="48" spans="1:4" x14ac:dyDescent="0.2">
      <c r="B48" s="14">
        <v>0.6</v>
      </c>
      <c r="C48" s="9"/>
    </row>
    <row r="49" spans="2:3" x14ac:dyDescent="0.2">
      <c r="B49" s="14">
        <v>0.7</v>
      </c>
      <c r="C49" s="9"/>
    </row>
    <row r="50" spans="2:3" x14ac:dyDescent="0.2">
      <c r="B50" s="14">
        <v>0.8</v>
      </c>
      <c r="C50" s="9"/>
    </row>
    <row r="51" spans="2:3" x14ac:dyDescent="0.2">
      <c r="B51" s="14">
        <v>0.9</v>
      </c>
      <c r="C51" s="9"/>
    </row>
    <row r="52" spans="2:3" x14ac:dyDescent="0.2">
      <c r="B52" s="14">
        <v>1</v>
      </c>
      <c r="C52" s="9"/>
    </row>
  </sheetData>
  <mergeCells count="6">
    <mergeCell ref="B39:B40"/>
    <mergeCell ref="C39:C40"/>
    <mergeCell ref="B29:B30"/>
    <mergeCell ref="C29:C30"/>
    <mergeCell ref="B31:B32"/>
    <mergeCell ref="B34:B3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M8:T44"/>
  <sheetViews>
    <sheetView topLeftCell="J8" zoomScale="125" zoomScaleNormal="50" workbookViewId="0">
      <selection activeCell="M18" sqref="M18"/>
    </sheetView>
  </sheetViews>
  <sheetFormatPr baseColWidth="10" defaultColWidth="9.1640625" defaultRowHeight="15" x14ac:dyDescent="0.2"/>
  <cols>
    <col min="1" max="12" width="9.1640625" style="15"/>
    <col min="13" max="13" width="13.1640625" style="15" customWidth="1"/>
    <col min="14" max="14" width="14.1640625" style="15" customWidth="1"/>
    <col min="15" max="16384" width="9.1640625" style="15"/>
  </cols>
  <sheetData>
    <row r="8" spans="13:19" x14ac:dyDescent="0.2">
      <c r="N8" s="16"/>
    </row>
    <row r="10" spans="13:19" x14ac:dyDescent="0.2">
      <c r="M10" s="17" t="s">
        <v>0</v>
      </c>
      <c r="N10" s="18" t="s">
        <v>22</v>
      </c>
    </row>
    <row r="11" spans="13:19" x14ac:dyDescent="0.2">
      <c r="N11" s="15" t="s">
        <v>23</v>
      </c>
      <c r="Q11" s="15" t="s">
        <v>24</v>
      </c>
    </row>
    <row r="12" spans="13:19" x14ac:dyDescent="0.2">
      <c r="N12" s="15" t="s">
        <v>25</v>
      </c>
      <c r="O12" s="15">
        <v>10</v>
      </c>
      <c r="Q12" s="15" t="s">
        <v>26</v>
      </c>
      <c r="R12" s="19" t="s">
        <v>27</v>
      </c>
      <c r="S12" s="19" t="s">
        <v>28</v>
      </c>
    </row>
    <row r="13" spans="13:19" x14ac:dyDescent="0.2">
      <c r="N13" s="15" t="s">
        <v>29</v>
      </c>
      <c r="O13" s="20">
        <v>5</v>
      </c>
      <c r="Q13" s="15">
        <v>1</v>
      </c>
      <c r="R13" s="21">
        <f t="shared" ref="R13:R22" si="0">$O$13/(1+$O$14)^Q13</f>
        <v>4.6296296296296298</v>
      </c>
      <c r="S13" s="21">
        <f>SUM($R$13:R13)</f>
        <v>4.6296296296296298</v>
      </c>
    </row>
    <row r="14" spans="13:19" x14ac:dyDescent="0.2">
      <c r="N14" s="15" t="s">
        <v>30</v>
      </c>
      <c r="O14" s="22">
        <v>0.08</v>
      </c>
      <c r="Q14" s="15">
        <v>2</v>
      </c>
      <c r="R14" s="21">
        <f t="shared" si="0"/>
        <v>4.2866941015089157</v>
      </c>
      <c r="S14" s="21">
        <f>SUM($R$13:R14)</f>
        <v>8.9163237311385455</v>
      </c>
    </row>
    <row r="15" spans="13:19" x14ac:dyDescent="0.2">
      <c r="Q15" s="15">
        <v>3</v>
      </c>
      <c r="R15" s="21">
        <f t="shared" si="0"/>
        <v>3.969161205100848</v>
      </c>
      <c r="S15" s="21">
        <f>SUM($R$13:R15)</f>
        <v>12.885484936239394</v>
      </c>
    </row>
    <row r="16" spans="13:19" x14ac:dyDescent="0.2">
      <c r="Q16" s="15">
        <v>4</v>
      </c>
      <c r="R16" s="21">
        <f t="shared" si="0"/>
        <v>3.675149263982266</v>
      </c>
      <c r="S16" s="21">
        <f>SUM($R$13:R16)</f>
        <v>16.56063420022166</v>
      </c>
    </row>
    <row r="17" spans="14:20" x14ac:dyDescent="0.2">
      <c r="Q17" s="15">
        <v>5</v>
      </c>
      <c r="R17" s="21">
        <f t="shared" si="0"/>
        <v>3.4029159851687649</v>
      </c>
      <c r="S17" s="21">
        <f>SUM($R$13:R17)</f>
        <v>19.963550185390424</v>
      </c>
    </row>
    <row r="18" spans="14:20" x14ac:dyDescent="0.2">
      <c r="Q18" s="15">
        <v>6</v>
      </c>
      <c r="R18" s="21">
        <f t="shared" si="0"/>
        <v>3.150848134415523</v>
      </c>
      <c r="S18" s="21">
        <f>SUM($R$13:R18)</f>
        <v>23.114398319805947</v>
      </c>
    </row>
    <row r="19" spans="14:20" x14ac:dyDescent="0.2">
      <c r="Q19" s="15">
        <v>7</v>
      </c>
      <c r="R19" s="21">
        <f t="shared" si="0"/>
        <v>2.917451976310669</v>
      </c>
      <c r="S19" s="21">
        <f>SUM($R$13:R19)</f>
        <v>26.031850296116616</v>
      </c>
    </row>
    <row r="20" spans="14:20" x14ac:dyDescent="0.2">
      <c r="Q20" s="15">
        <v>8</v>
      </c>
      <c r="R20" s="21">
        <f t="shared" si="0"/>
        <v>2.7013444225098788</v>
      </c>
      <c r="S20" s="21">
        <f>SUM($R$13:R20)</f>
        <v>28.733194718626496</v>
      </c>
    </row>
    <row r="21" spans="14:20" x14ac:dyDescent="0.2">
      <c r="Q21" s="15">
        <v>9</v>
      </c>
      <c r="R21" s="21">
        <f t="shared" si="0"/>
        <v>2.5012448356572952</v>
      </c>
      <c r="S21" s="21">
        <f>SUM($R$13:R21)</f>
        <v>31.234439554283792</v>
      </c>
    </row>
    <row r="22" spans="14:20" x14ac:dyDescent="0.2">
      <c r="Q22" s="15">
        <v>10</v>
      </c>
      <c r="R22" s="21">
        <f>$O$13/(1+$O$14)^Q22</f>
        <v>2.3159674404234214</v>
      </c>
      <c r="S22" s="23">
        <f>SUM($R$13:R22)</f>
        <v>33.550406994707217</v>
      </c>
      <c r="T22" s="15" t="s">
        <v>31</v>
      </c>
    </row>
    <row r="23" spans="14:20" x14ac:dyDescent="0.2">
      <c r="R23" s="24"/>
      <c r="S23" s="25"/>
    </row>
    <row r="24" spans="14:20" x14ac:dyDescent="0.2">
      <c r="N24" s="15" t="s">
        <v>32</v>
      </c>
      <c r="R24" s="24"/>
      <c r="S24" s="25"/>
    </row>
    <row r="25" spans="14:20" x14ac:dyDescent="0.2">
      <c r="O25" s="15" t="s">
        <v>33</v>
      </c>
      <c r="R25" s="24"/>
      <c r="S25" s="25"/>
    </row>
    <row r="26" spans="14:20" x14ac:dyDescent="0.2">
      <c r="O26" s="15" t="s">
        <v>67</v>
      </c>
      <c r="R26" s="24"/>
      <c r="S26" s="25"/>
    </row>
    <row r="27" spans="14:20" x14ac:dyDescent="0.2">
      <c r="N27" s="15" t="s">
        <v>34</v>
      </c>
      <c r="R27" s="24"/>
      <c r="S27" s="25"/>
    </row>
    <row r="28" spans="14:20" x14ac:dyDescent="0.2">
      <c r="R28" s="24"/>
      <c r="S28" s="25"/>
    </row>
    <row r="29" spans="14:20" x14ac:dyDescent="0.2">
      <c r="O29" s="26">
        <f>S22</f>
        <v>33.550406994707217</v>
      </c>
      <c r="P29" s="27">
        <v>8.1</v>
      </c>
      <c r="Q29" s="27">
        <v>9</v>
      </c>
      <c r="R29" s="27">
        <v>10</v>
      </c>
      <c r="S29" s="27">
        <v>11</v>
      </c>
      <c r="T29" s="27">
        <v>12.1</v>
      </c>
    </row>
    <row r="30" spans="14:20" x14ac:dyDescent="0.2">
      <c r="O30" s="28">
        <v>5.414999999999999E-2</v>
      </c>
      <c r="P30" s="27">
        <f t="dataTable" ref="P30:T34" dt2D="1" dtr="1" r1="O13" r2="O14"/>
        <v>61.304466701749391</v>
      </c>
      <c r="Q30" s="27">
        <v>68.116074113054879</v>
      </c>
      <c r="R30" s="27">
        <v>75.684526792283194</v>
      </c>
      <c r="S30" s="29">
        <v>83.252979471511523</v>
      </c>
      <c r="T30" s="27">
        <v>91.578277418662665</v>
      </c>
    </row>
    <row r="31" spans="14:20" x14ac:dyDescent="0.2">
      <c r="O31" s="28">
        <v>5.6999999999999995E-2</v>
      </c>
      <c r="P31" s="27">
        <v>60.473290750683759</v>
      </c>
      <c r="Q31" s="27">
        <v>67.192545278537509</v>
      </c>
      <c r="R31" s="27">
        <v>74.658383642819459</v>
      </c>
      <c r="S31" s="29">
        <v>82.124222007101409</v>
      </c>
      <c r="T31" s="27">
        <v>90.336644207811545</v>
      </c>
    </row>
    <row r="32" spans="14:20" x14ac:dyDescent="0.2">
      <c r="O32" s="28">
        <v>0.06</v>
      </c>
      <c r="P32" s="27">
        <v>59.61670511645903</v>
      </c>
      <c r="Q32" s="27">
        <v>66.240783462732253</v>
      </c>
      <c r="R32" s="27">
        <v>73.600870514146962</v>
      </c>
      <c r="S32" s="29">
        <v>80.960957565561642</v>
      </c>
      <c r="T32" s="27">
        <v>89.05705332211781</v>
      </c>
    </row>
    <row r="33" spans="14:20" x14ac:dyDescent="0.2">
      <c r="O33" s="28">
        <v>6.3E-2</v>
      </c>
      <c r="P33" s="27">
        <v>58.778435378720353</v>
      </c>
      <c r="Q33" s="27">
        <v>65.309372643022627</v>
      </c>
      <c r="R33" s="27">
        <v>72.565969603358468</v>
      </c>
      <c r="S33" s="29">
        <v>79.822566563694323</v>
      </c>
      <c r="T33" s="27">
        <v>87.804823220063753</v>
      </c>
    </row>
    <row r="34" spans="14:20" x14ac:dyDescent="0.2">
      <c r="O34" s="28">
        <v>6.615E-2</v>
      </c>
      <c r="P34" s="27">
        <v>57.917435354278389</v>
      </c>
      <c r="Q34" s="27">
        <v>64.352705949198238</v>
      </c>
      <c r="R34" s="27">
        <v>71.50300661022024</v>
      </c>
      <c r="S34" s="29">
        <v>78.653307271242284</v>
      </c>
      <c r="T34" s="27">
        <v>86.518637998366515</v>
      </c>
    </row>
    <row r="35" spans="14:20" x14ac:dyDescent="0.2">
      <c r="R35" s="24"/>
      <c r="S35" s="25"/>
    </row>
    <row r="36" spans="14:20" x14ac:dyDescent="0.2">
      <c r="R36" s="30"/>
    </row>
    <row r="37" spans="14:20" x14ac:dyDescent="0.2">
      <c r="N37" s="18"/>
      <c r="R37" s="30"/>
    </row>
    <row r="38" spans="14:20" x14ac:dyDescent="0.2">
      <c r="P38" s="31"/>
      <c r="Q38" s="31"/>
      <c r="R38" s="31"/>
      <c r="S38" s="31"/>
      <c r="T38" s="31"/>
    </row>
    <row r="39" spans="14:20" x14ac:dyDescent="0.2">
      <c r="O39" s="24"/>
    </row>
    <row r="40" spans="14:20" x14ac:dyDescent="0.2">
      <c r="O40" s="32"/>
      <c r="P40" s="24"/>
      <c r="Q40" s="24"/>
      <c r="R40" s="24"/>
      <c r="S40" s="24"/>
      <c r="T40" s="24"/>
    </row>
    <row r="41" spans="14:20" x14ac:dyDescent="0.2">
      <c r="O41" s="32"/>
      <c r="P41" s="24"/>
      <c r="Q41" s="24"/>
      <c r="R41" s="24"/>
      <c r="S41" s="24"/>
      <c r="T41" s="24"/>
    </row>
    <row r="42" spans="14:20" x14ac:dyDescent="0.2">
      <c r="O42" s="32"/>
      <c r="P42" s="24"/>
      <c r="Q42" s="24"/>
      <c r="R42" s="25"/>
      <c r="S42" s="24"/>
      <c r="T42" s="24"/>
    </row>
    <row r="43" spans="14:20" x14ac:dyDescent="0.2">
      <c r="O43" s="32"/>
      <c r="P43" s="24"/>
      <c r="Q43" s="24"/>
      <c r="R43" s="24"/>
      <c r="S43" s="24"/>
      <c r="T43" s="24"/>
    </row>
    <row r="44" spans="14:20" x14ac:dyDescent="0.2">
      <c r="O44" s="32"/>
      <c r="P44" s="24"/>
      <c r="Q44" s="24"/>
      <c r="R44" s="24"/>
      <c r="S44" s="24"/>
      <c r="T44" s="2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J5:Q41"/>
  <sheetViews>
    <sheetView topLeftCell="A22" zoomScale="50" zoomScaleNormal="50" workbookViewId="0">
      <selection activeCell="D23" sqref="D23:J31"/>
    </sheetView>
  </sheetViews>
  <sheetFormatPr baseColWidth="10" defaultColWidth="9.1640625" defaultRowHeight="15" x14ac:dyDescent="0.2"/>
  <cols>
    <col min="1" max="9" width="9.1640625" style="15"/>
    <col min="10" max="10" width="13.1640625" style="15" customWidth="1"/>
    <col min="11" max="11" width="14.1640625" style="15" customWidth="1"/>
    <col min="12" max="16384" width="9.1640625" style="15"/>
  </cols>
  <sheetData>
    <row r="5" spans="10:16" x14ac:dyDescent="0.2">
      <c r="K5" s="16"/>
    </row>
    <row r="7" spans="10:16" x14ac:dyDescent="0.2">
      <c r="J7" s="17" t="s">
        <v>0</v>
      </c>
      <c r="K7" s="18" t="s">
        <v>22</v>
      </c>
    </row>
    <row r="8" spans="10:16" x14ac:dyDescent="0.2">
      <c r="K8" s="15" t="s">
        <v>23</v>
      </c>
      <c r="N8" s="15" t="s">
        <v>24</v>
      </c>
    </row>
    <row r="9" spans="10:16" x14ac:dyDescent="0.2">
      <c r="K9" s="15" t="s">
        <v>25</v>
      </c>
      <c r="L9" s="15">
        <v>10</v>
      </c>
      <c r="N9" s="15" t="s">
        <v>26</v>
      </c>
      <c r="O9" s="19" t="s">
        <v>27</v>
      </c>
      <c r="P9" s="19" t="s">
        <v>28</v>
      </c>
    </row>
    <row r="10" spans="10:16" x14ac:dyDescent="0.2">
      <c r="K10" s="15" t="s">
        <v>29</v>
      </c>
      <c r="L10" s="20">
        <v>5</v>
      </c>
      <c r="N10" s="15">
        <v>1</v>
      </c>
      <c r="O10" s="21">
        <f t="shared" ref="O10:O19" si="0">$L$10/(1+$L$11)^N10</f>
        <v>4.545454545454545</v>
      </c>
      <c r="P10" s="21">
        <f>SUM($O$10:O10)</f>
        <v>4.545454545454545</v>
      </c>
    </row>
    <row r="11" spans="10:16" x14ac:dyDescent="0.2">
      <c r="K11" s="15" t="s">
        <v>30</v>
      </c>
      <c r="L11" s="22">
        <v>0.1</v>
      </c>
      <c r="N11" s="15">
        <v>2</v>
      </c>
      <c r="O11" s="21">
        <f t="shared" si="0"/>
        <v>4.1322314049586772</v>
      </c>
      <c r="P11" s="21">
        <f>SUM($O$10:O11)</f>
        <v>8.6776859504132222</v>
      </c>
    </row>
    <row r="12" spans="10:16" x14ac:dyDescent="0.2">
      <c r="N12" s="15">
        <v>3</v>
      </c>
      <c r="O12" s="21">
        <f t="shared" si="0"/>
        <v>3.7565740045078875</v>
      </c>
      <c r="P12" s="21">
        <f>SUM($O$10:O12)</f>
        <v>12.43425995492111</v>
      </c>
    </row>
    <row r="13" spans="10:16" x14ac:dyDescent="0.2">
      <c r="N13" s="15">
        <v>4</v>
      </c>
      <c r="O13" s="21">
        <f t="shared" si="0"/>
        <v>3.4150672768253525</v>
      </c>
      <c r="P13" s="21">
        <f>SUM($O$10:O13)</f>
        <v>15.849327231746463</v>
      </c>
    </row>
    <row r="14" spans="10:16" x14ac:dyDescent="0.2">
      <c r="N14" s="15">
        <v>5</v>
      </c>
      <c r="O14" s="21">
        <f t="shared" si="0"/>
        <v>3.1046066152957748</v>
      </c>
      <c r="P14" s="21">
        <f>SUM($O$10:O14)</f>
        <v>18.953933847042236</v>
      </c>
    </row>
    <row r="15" spans="10:16" x14ac:dyDescent="0.2">
      <c r="N15" s="15">
        <v>6</v>
      </c>
      <c r="O15" s="21">
        <f t="shared" si="0"/>
        <v>2.822369650268886</v>
      </c>
      <c r="P15" s="21">
        <f>SUM($O$10:O15)</f>
        <v>21.776303497311122</v>
      </c>
    </row>
    <row r="16" spans="10:16" x14ac:dyDescent="0.2">
      <c r="N16" s="15">
        <v>7</v>
      </c>
      <c r="O16" s="21">
        <f t="shared" si="0"/>
        <v>2.5657905911535321</v>
      </c>
      <c r="P16" s="21">
        <f>SUM($O$10:O16)</f>
        <v>24.342094088464655</v>
      </c>
    </row>
    <row r="17" spans="11:17" x14ac:dyDescent="0.2">
      <c r="N17" s="15">
        <v>8</v>
      </c>
      <c r="O17" s="21">
        <f t="shared" si="0"/>
        <v>2.3325369010486661</v>
      </c>
      <c r="P17" s="21">
        <f>SUM($O$10:O17)</f>
        <v>26.674630989513322</v>
      </c>
    </row>
    <row r="18" spans="11:17" x14ac:dyDescent="0.2">
      <c r="N18" s="15">
        <v>9</v>
      </c>
      <c r="O18" s="21">
        <f t="shared" si="0"/>
        <v>2.1204880918624234</v>
      </c>
      <c r="P18" s="21">
        <f>SUM($O$10:O18)</f>
        <v>28.795119081375745</v>
      </c>
    </row>
    <row r="19" spans="11:17" x14ac:dyDescent="0.2">
      <c r="N19" s="15">
        <v>10</v>
      </c>
      <c r="O19" s="21">
        <f t="shared" si="0"/>
        <v>1.9277164471476573</v>
      </c>
      <c r="P19" s="23">
        <f>SUM($O$10:O19)</f>
        <v>30.722835528523401</v>
      </c>
      <c r="Q19" s="15" t="s">
        <v>31</v>
      </c>
    </row>
    <row r="20" spans="11:17" x14ac:dyDescent="0.2">
      <c r="O20" s="24"/>
      <c r="P20" s="25"/>
    </row>
    <row r="21" spans="11:17" x14ac:dyDescent="0.2">
      <c r="K21" s="15" t="s">
        <v>32</v>
      </c>
      <c r="O21" s="24"/>
      <c r="P21" s="25"/>
    </row>
    <row r="22" spans="11:17" x14ac:dyDescent="0.2">
      <c r="L22" s="15" t="s">
        <v>33</v>
      </c>
      <c r="O22" s="24"/>
      <c r="P22" s="25"/>
    </row>
    <row r="23" spans="11:17" x14ac:dyDescent="0.2">
      <c r="L23" s="15" t="s">
        <v>67</v>
      </c>
      <c r="O23" s="24"/>
      <c r="P23" s="25"/>
    </row>
    <row r="24" spans="11:17" x14ac:dyDescent="0.2">
      <c r="K24" s="15" t="s">
        <v>34</v>
      </c>
      <c r="O24" s="24"/>
      <c r="P24" s="25"/>
    </row>
    <row r="25" spans="11:17" x14ac:dyDescent="0.2">
      <c r="O25" s="24"/>
      <c r="P25" s="25"/>
    </row>
    <row r="26" spans="11:17" x14ac:dyDescent="0.2">
      <c r="L26" s="26">
        <f>P19</f>
        <v>30.722835528523401</v>
      </c>
      <c r="M26" s="27">
        <v>8.1</v>
      </c>
      <c r="N26" s="27">
        <v>9</v>
      </c>
      <c r="O26" s="27">
        <v>10</v>
      </c>
      <c r="P26" s="27">
        <v>11</v>
      </c>
      <c r="Q26" s="27">
        <v>12.1</v>
      </c>
    </row>
    <row r="27" spans="11:17" x14ac:dyDescent="0.2">
      <c r="L27" s="28">
        <v>5.414999999999999E-2</v>
      </c>
      <c r="M27" s="27"/>
      <c r="N27" s="27"/>
      <c r="O27" s="27"/>
      <c r="P27" s="29"/>
      <c r="Q27" s="27"/>
    </row>
    <row r="28" spans="11:17" x14ac:dyDescent="0.2">
      <c r="L28" s="28">
        <v>5.6999999999999995E-2</v>
      </c>
      <c r="M28" s="27"/>
      <c r="N28" s="27"/>
      <c r="O28" s="27"/>
      <c r="P28" s="29"/>
      <c r="Q28" s="27"/>
    </row>
    <row r="29" spans="11:17" x14ac:dyDescent="0.2">
      <c r="L29" s="28">
        <v>0.06</v>
      </c>
      <c r="M29" s="27"/>
      <c r="N29" s="27"/>
      <c r="O29" s="27"/>
      <c r="P29" s="29"/>
      <c r="Q29" s="27"/>
    </row>
    <row r="30" spans="11:17" x14ac:dyDescent="0.2">
      <c r="L30" s="28">
        <v>6.3E-2</v>
      </c>
      <c r="M30" s="27"/>
      <c r="N30" s="27"/>
      <c r="O30" s="27"/>
      <c r="P30" s="29"/>
      <c r="Q30" s="27"/>
    </row>
    <row r="31" spans="11:17" x14ac:dyDescent="0.2">
      <c r="L31" s="28">
        <v>6.615E-2</v>
      </c>
      <c r="M31" s="27"/>
      <c r="N31" s="27"/>
      <c r="O31" s="27"/>
      <c r="P31" s="29"/>
      <c r="Q31" s="27"/>
    </row>
    <row r="32" spans="11:17" x14ac:dyDescent="0.2">
      <c r="O32" s="24"/>
      <c r="P32" s="25"/>
    </row>
    <row r="33" spans="11:17" x14ac:dyDescent="0.2">
      <c r="O33" s="30"/>
    </row>
    <row r="34" spans="11:17" x14ac:dyDescent="0.2">
      <c r="K34" s="18"/>
      <c r="O34" s="30"/>
    </row>
    <row r="35" spans="11:17" x14ac:dyDescent="0.2">
      <c r="M35" s="31"/>
      <c r="N35" s="31"/>
      <c r="O35" s="31"/>
      <c r="P35" s="31"/>
      <c r="Q35" s="31"/>
    </row>
    <row r="36" spans="11:17" x14ac:dyDescent="0.2">
      <c r="L36" s="24"/>
    </row>
    <row r="37" spans="11:17" x14ac:dyDescent="0.2">
      <c r="L37" s="32"/>
      <c r="M37" s="24"/>
      <c r="N37" s="24"/>
      <c r="O37" s="24"/>
      <c r="P37" s="24"/>
      <c r="Q37" s="24"/>
    </row>
    <row r="38" spans="11:17" x14ac:dyDescent="0.2">
      <c r="L38" s="32"/>
      <c r="M38" s="24"/>
      <c r="N38" s="24"/>
      <c r="O38" s="24"/>
      <c r="P38" s="24"/>
      <c r="Q38" s="24"/>
    </row>
    <row r="39" spans="11:17" x14ac:dyDescent="0.2">
      <c r="L39" s="32"/>
      <c r="M39" s="24"/>
      <c r="N39" s="24"/>
      <c r="O39" s="25"/>
      <c r="P39" s="24"/>
      <c r="Q39" s="24"/>
    </row>
    <row r="40" spans="11:17" x14ac:dyDescent="0.2">
      <c r="L40" s="32"/>
      <c r="M40" s="24"/>
      <c r="N40" s="24"/>
      <c r="O40" s="24"/>
      <c r="P40" s="24"/>
      <c r="Q40" s="24"/>
    </row>
    <row r="41" spans="11:17" x14ac:dyDescent="0.2">
      <c r="L41" s="32"/>
      <c r="M41" s="24"/>
      <c r="N41" s="24"/>
      <c r="O41" s="24"/>
      <c r="P41" s="24"/>
      <c r="Q41" s="2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G2:N38"/>
  <sheetViews>
    <sheetView zoomScale="50" zoomScaleNormal="50" workbookViewId="0">
      <selection activeCell="D23" sqref="D23:I29"/>
    </sheetView>
  </sheetViews>
  <sheetFormatPr baseColWidth="10" defaultColWidth="9.1640625" defaultRowHeight="15" x14ac:dyDescent="0.2"/>
  <cols>
    <col min="1" max="6" width="9.1640625" style="15"/>
    <col min="7" max="7" width="13.1640625" style="15" customWidth="1"/>
    <col min="8" max="8" width="14.1640625" style="15" customWidth="1"/>
    <col min="9" max="16384" width="9.1640625" style="15"/>
  </cols>
  <sheetData>
    <row r="2" spans="7:14" x14ac:dyDescent="0.2">
      <c r="H2" s="16"/>
    </row>
    <row r="4" spans="7:14" x14ac:dyDescent="0.2">
      <c r="G4" s="17" t="s">
        <v>0</v>
      </c>
      <c r="H4" s="18" t="s">
        <v>22</v>
      </c>
    </row>
    <row r="5" spans="7:14" x14ac:dyDescent="0.2">
      <c r="H5" s="15" t="s">
        <v>23</v>
      </c>
      <c r="K5" s="15" t="s">
        <v>24</v>
      </c>
    </row>
    <row r="6" spans="7:14" x14ac:dyDescent="0.2">
      <c r="H6" s="15" t="s">
        <v>25</v>
      </c>
      <c r="I6" s="15">
        <v>10</v>
      </c>
      <c r="K6" s="15" t="s">
        <v>26</v>
      </c>
      <c r="L6" s="19" t="s">
        <v>27</v>
      </c>
      <c r="M6" s="19" t="s">
        <v>28</v>
      </c>
    </row>
    <row r="7" spans="7:14" x14ac:dyDescent="0.2">
      <c r="H7" s="15" t="s">
        <v>29</v>
      </c>
      <c r="I7" s="20">
        <v>5</v>
      </c>
      <c r="K7" s="15">
        <v>1</v>
      </c>
      <c r="L7" s="21">
        <f t="shared" ref="L7:L16" si="0">$I$7/(1+$I$8)^K7</f>
        <v>4.4642857142857135</v>
      </c>
      <c r="M7" s="21">
        <f>SUM($L$7:L7)</f>
        <v>4.4642857142857135</v>
      </c>
    </row>
    <row r="8" spans="7:14" x14ac:dyDescent="0.2">
      <c r="H8" s="15" t="s">
        <v>30</v>
      </c>
      <c r="I8" s="22">
        <v>0.12</v>
      </c>
      <c r="K8" s="15">
        <v>2</v>
      </c>
      <c r="L8" s="21">
        <f t="shared" si="0"/>
        <v>3.9859693877551017</v>
      </c>
      <c r="M8" s="21">
        <f>SUM($L$7:L8)</f>
        <v>8.4502551020408152</v>
      </c>
    </row>
    <row r="9" spans="7:14" x14ac:dyDescent="0.2">
      <c r="K9" s="15">
        <v>3</v>
      </c>
      <c r="L9" s="21">
        <f t="shared" si="0"/>
        <v>3.5589012390670542</v>
      </c>
      <c r="M9" s="21">
        <f>SUM($L$7:L9)</f>
        <v>12.00915634110787</v>
      </c>
    </row>
    <row r="10" spans="7:14" x14ac:dyDescent="0.2">
      <c r="K10" s="15">
        <v>4</v>
      </c>
      <c r="L10" s="21">
        <f t="shared" si="0"/>
        <v>3.1775903920241557</v>
      </c>
      <c r="M10" s="21">
        <f>SUM($L$7:L10)</f>
        <v>15.186746733132026</v>
      </c>
    </row>
    <row r="11" spans="7:14" x14ac:dyDescent="0.2">
      <c r="K11" s="15">
        <v>5</v>
      </c>
      <c r="L11" s="21">
        <f t="shared" si="0"/>
        <v>2.8371342785929961</v>
      </c>
      <c r="M11" s="21">
        <f>SUM($L$7:L11)</f>
        <v>18.02388101172502</v>
      </c>
    </row>
    <row r="12" spans="7:14" x14ac:dyDescent="0.2">
      <c r="K12" s="15">
        <v>6</v>
      </c>
      <c r="L12" s="21">
        <f t="shared" si="0"/>
        <v>2.5331556058866034</v>
      </c>
      <c r="M12" s="21">
        <f>SUM($L$7:L12)</f>
        <v>20.557036617611622</v>
      </c>
    </row>
    <row r="13" spans="7:14" x14ac:dyDescent="0.2">
      <c r="K13" s="15">
        <v>7</v>
      </c>
      <c r="L13" s="21">
        <f t="shared" si="0"/>
        <v>2.2617460766844673</v>
      </c>
      <c r="M13" s="21">
        <f>SUM($L$7:L13)</f>
        <v>22.81878269429609</v>
      </c>
    </row>
    <row r="14" spans="7:14" x14ac:dyDescent="0.2">
      <c r="K14" s="15">
        <v>8</v>
      </c>
      <c r="L14" s="21">
        <f t="shared" si="0"/>
        <v>2.0194161398968458</v>
      </c>
      <c r="M14" s="21">
        <f>SUM($L$7:L14)</f>
        <v>24.838198834192937</v>
      </c>
    </row>
    <row r="15" spans="7:14" x14ac:dyDescent="0.2">
      <c r="K15" s="15">
        <v>9</v>
      </c>
      <c r="L15" s="21">
        <f t="shared" si="0"/>
        <v>1.8030501249078978</v>
      </c>
      <c r="M15" s="21">
        <f>SUM($L$7:L15)</f>
        <v>26.641248959100835</v>
      </c>
    </row>
    <row r="16" spans="7:14" x14ac:dyDescent="0.2">
      <c r="K16" s="15">
        <v>10</v>
      </c>
      <c r="L16" s="21">
        <f t="shared" si="0"/>
        <v>1.6098661829534799</v>
      </c>
      <c r="M16" s="23">
        <f>SUM($L$7:L16)</f>
        <v>28.251115142054314</v>
      </c>
      <c r="N16" s="15" t="s">
        <v>31</v>
      </c>
    </row>
    <row r="17" spans="8:14" x14ac:dyDescent="0.2">
      <c r="L17" s="24"/>
      <c r="M17" s="25"/>
    </row>
    <row r="18" spans="8:14" x14ac:dyDescent="0.2">
      <c r="H18" s="15" t="s">
        <v>32</v>
      </c>
      <c r="L18" s="24"/>
      <c r="M18" s="25"/>
    </row>
    <row r="19" spans="8:14" x14ac:dyDescent="0.2">
      <c r="I19" s="15" t="s">
        <v>33</v>
      </c>
      <c r="L19" s="24"/>
      <c r="M19" s="25"/>
    </row>
    <row r="20" spans="8:14" x14ac:dyDescent="0.2">
      <c r="I20" s="15" t="s">
        <v>67</v>
      </c>
      <c r="L20" s="24"/>
      <c r="M20" s="25"/>
    </row>
    <row r="21" spans="8:14" x14ac:dyDescent="0.2">
      <c r="H21" s="15" t="s">
        <v>34</v>
      </c>
      <c r="L21" s="24"/>
      <c r="M21" s="25"/>
    </row>
    <row r="22" spans="8:14" x14ac:dyDescent="0.2">
      <c r="L22" s="24"/>
      <c r="M22" s="25"/>
    </row>
    <row r="23" spans="8:14" x14ac:dyDescent="0.2">
      <c r="I23" s="26">
        <f>M16</f>
        <v>28.251115142054314</v>
      </c>
      <c r="J23" s="27">
        <v>8.1</v>
      </c>
      <c r="K23" s="27">
        <v>9</v>
      </c>
      <c r="L23" s="27">
        <v>10</v>
      </c>
      <c r="M23" s="27">
        <v>11</v>
      </c>
      <c r="N23" s="27">
        <v>12.1</v>
      </c>
    </row>
    <row r="24" spans="8:14" x14ac:dyDescent="0.2">
      <c r="I24" s="28">
        <v>5.414999999999999E-2</v>
      </c>
      <c r="J24" s="27"/>
      <c r="K24" s="27"/>
      <c r="L24" s="27"/>
      <c r="M24" s="29"/>
      <c r="N24" s="27"/>
    </row>
    <row r="25" spans="8:14" x14ac:dyDescent="0.2">
      <c r="I25" s="28">
        <v>5.6999999999999995E-2</v>
      </c>
      <c r="J25" s="27"/>
      <c r="K25" s="27"/>
      <c r="L25" s="27"/>
      <c r="M25" s="29"/>
      <c r="N25" s="27"/>
    </row>
    <row r="26" spans="8:14" x14ac:dyDescent="0.2">
      <c r="I26" s="28">
        <v>0.06</v>
      </c>
      <c r="J26" s="27"/>
      <c r="K26" s="27"/>
      <c r="L26" s="27"/>
      <c r="M26" s="29"/>
      <c r="N26" s="27"/>
    </row>
    <row r="27" spans="8:14" x14ac:dyDescent="0.2">
      <c r="I27" s="28">
        <v>6.3E-2</v>
      </c>
      <c r="J27" s="27"/>
      <c r="K27" s="27"/>
      <c r="L27" s="27"/>
      <c r="M27" s="29"/>
      <c r="N27" s="27"/>
    </row>
    <row r="28" spans="8:14" x14ac:dyDescent="0.2">
      <c r="I28" s="28">
        <v>6.615E-2</v>
      </c>
      <c r="J28" s="27"/>
      <c r="K28" s="27"/>
      <c r="L28" s="27"/>
      <c r="M28" s="29"/>
      <c r="N28" s="27"/>
    </row>
    <row r="29" spans="8:14" x14ac:dyDescent="0.2">
      <c r="L29" s="24"/>
      <c r="M29" s="25"/>
    </row>
    <row r="30" spans="8:14" x14ac:dyDescent="0.2">
      <c r="L30" s="30"/>
    </row>
    <row r="31" spans="8:14" x14ac:dyDescent="0.2">
      <c r="H31" s="18"/>
      <c r="L31" s="30"/>
    </row>
    <row r="32" spans="8:14" x14ac:dyDescent="0.2">
      <c r="J32" s="31"/>
      <c r="K32" s="31"/>
      <c r="L32" s="31"/>
      <c r="M32" s="31"/>
      <c r="N32" s="31"/>
    </row>
    <row r="33" spans="9:14" x14ac:dyDescent="0.2">
      <c r="I33" s="24"/>
    </row>
    <row r="34" spans="9:14" x14ac:dyDescent="0.2">
      <c r="I34" s="32"/>
      <c r="J34" s="24"/>
      <c r="K34" s="24"/>
      <c r="L34" s="24"/>
      <c r="M34" s="24"/>
      <c r="N34" s="24"/>
    </row>
    <row r="35" spans="9:14" x14ac:dyDescent="0.2">
      <c r="I35" s="32"/>
      <c r="J35" s="24"/>
      <c r="K35" s="24"/>
      <c r="L35" s="24"/>
      <c r="M35" s="24"/>
      <c r="N35" s="24"/>
    </row>
    <row r="36" spans="9:14" x14ac:dyDescent="0.2">
      <c r="I36" s="32"/>
      <c r="J36" s="24"/>
      <c r="K36" s="24"/>
      <c r="L36" s="25"/>
      <c r="M36" s="24"/>
      <c r="N36" s="24"/>
    </row>
    <row r="37" spans="9:14" x14ac:dyDescent="0.2">
      <c r="I37" s="32"/>
      <c r="J37" s="24"/>
      <c r="K37" s="24"/>
      <c r="L37" s="24"/>
      <c r="M37" s="24"/>
      <c r="N37" s="24"/>
    </row>
    <row r="38" spans="9:14" x14ac:dyDescent="0.2">
      <c r="I38" s="32"/>
      <c r="J38" s="24"/>
      <c r="K38" s="24"/>
      <c r="L38" s="24"/>
      <c r="M38" s="24"/>
      <c r="N38" s="2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9:L92"/>
  <sheetViews>
    <sheetView tabSelected="1" topLeftCell="A32" zoomScale="125" zoomScaleNormal="50" workbookViewId="0">
      <selection activeCell="F39" sqref="F39"/>
    </sheetView>
  </sheetViews>
  <sheetFormatPr baseColWidth="10" defaultColWidth="9.1640625" defaultRowHeight="15" x14ac:dyDescent="0.2"/>
  <cols>
    <col min="2" max="2" width="12.33203125" bestFit="1" customWidth="1"/>
    <col min="3" max="3" width="15.1640625" customWidth="1"/>
    <col min="4" max="4" width="15.33203125" bestFit="1" customWidth="1"/>
    <col min="5" max="5" width="18.5" bestFit="1" customWidth="1"/>
    <col min="6" max="6" width="14.6640625" customWidth="1"/>
    <col min="7" max="7" width="16.1640625" customWidth="1"/>
    <col min="8" max="8" width="12.5" customWidth="1"/>
    <col min="11" max="11" width="18.1640625" customWidth="1"/>
  </cols>
  <sheetData>
    <row r="19" spans="2:11" ht="16" x14ac:dyDescent="0.2">
      <c r="B19" s="33" t="s">
        <v>0</v>
      </c>
    </row>
    <row r="20" spans="2:11" ht="18" x14ac:dyDescent="0.25">
      <c r="C20" s="34" t="s">
        <v>35</v>
      </c>
    </row>
    <row r="21" spans="2:11" ht="16" x14ac:dyDescent="0.2">
      <c r="C21" s="34" t="s">
        <v>36</v>
      </c>
      <c r="D21" s="34"/>
      <c r="E21" s="34"/>
      <c r="F21" s="34"/>
      <c r="G21" s="34"/>
      <c r="H21" s="34"/>
      <c r="I21" s="34"/>
      <c r="J21" s="34"/>
      <c r="K21" s="34"/>
    </row>
    <row r="22" spans="2:11" ht="16" x14ac:dyDescent="0.2">
      <c r="C22" s="35" t="s">
        <v>37</v>
      </c>
      <c r="D22" s="34"/>
      <c r="E22" s="34"/>
      <c r="F22" s="34"/>
      <c r="G22" s="34"/>
      <c r="H22" s="34"/>
      <c r="I22" s="34"/>
      <c r="J22" s="34"/>
      <c r="K22" s="34"/>
    </row>
    <row r="23" spans="2:11" ht="16" x14ac:dyDescent="0.2">
      <c r="C23" s="34"/>
      <c r="F23" s="34"/>
      <c r="G23" s="34"/>
      <c r="H23" s="34"/>
      <c r="I23" s="34"/>
      <c r="J23" s="34"/>
      <c r="K23" s="34"/>
    </row>
    <row r="24" spans="2:11" ht="16" x14ac:dyDescent="0.2">
      <c r="C24" s="34" t="s">
        <v>71</v>
      </c>
      <c r="F24" s="34"/>
      <c r="G24" s="34"/>
      <c r="H24" s="34"/>
      <c r="I24" s="34"/>
      <c r="J24" s="34"/>
      <c r="K24" s="34"/>
    </row>
    <row r="25" spans="2:11" ht="16" x14ac:dyDescent="0.2">
      <c r="C25" s="34"/>
      <c r="F25" s="34"/>
      <c r="G25" s="34"/>
      <c r="H25" s="34"/>
      <c r="I25" s="34"/>
      <c r="J25" s="34"/>
      <c r="K25" s="34"/>
    </row>
    <row r="26" spans="2:11" ht="18" x14ac:dyDescent="0.25">
      <c r="C26" s="36" t="s">
        <v>38</v>
      </c>
      <c r="D26" s="37">
        <v>0.5</v>
      </c>
      <c r="F26" s="34"/>
      <c r="G26" s="34"/>
      <c r="H26" s="34"/>
      <c r="I26" s="34"/>
      <c r="J26" s="34"/>
      <c r="K26" s="34"/>
    </row>
    <row r="27" spans="2:11" ht="16" x14ac:dyDescent="0.2">
      <c r="C27" s="36" t="s">
        <v>39</v>
      </c>
      <c r="D27" s="38">
        <v>0.05</v>
      </c>
      <c r="F27" s="34"/>
      <c r="G27" s="34"/>
      <c r="H27" s="34"/>
      <c r="I27" s="34"/>
      <c r="J27" s="34"/>
      <c r="K27" s="34"/>
    </row>
    <row r="28" spans="2:11" ht="16" x14ac:dyDescent="0.2">
      <c r="C28" s="36" t="s">
        <v>40</v>
      </c>
      <c r="D28" s="38">
        <v>0.1</v>
      </c>
      <c r="F28" s="34"/>
      <c r="G28" s="34"/>
      <c r="H28" s="34"/>
      <c r="I28" s="34"/>
      <c r="J28" s="34"/>
      <c r="K28" s="34"/>
    </row>
    <row r="29" spans="2:11" ht="16" x14ac:dyDescent="0.2">
      <c r="C29" s="39" t="s">
        <v>41</v>
      </c>
      <c r="D29" s="52">
        <f>D26*(1+D27)/(D28-D27)</f>
        <v>10.5</v>
      </c>
      <c r="F29" s="34"/>
      <c r="H29" s="34"/>
      <c r="I29" s="34"/>
      <c r="J29" s="34"/>
      <c r="K29" s="34"/>
    </row>
    <row r="30" spans="2:11" ht="16" x14ac:dyDescent="0.2">
      <c r="F30" s="34"/>
      <c r="G30" s="34"/>
      <c r="H30" s="34"/>
      <c r="I30" s="34"/>
      <c r="J30" s="34"/>
      <c r="K30" s="34"/>
    </row>
    <row r="31" spans="2:11" ht="16" x14ac:dyDescent="0.2">
      <c r="B31" s="33" t="s">
        <v>7</v>
      </c>
      <c r="C31" s="34"/>
      <c r="F31" s="34"/>
      <c r="G31" s="34"/>
      <c r="H31" s="34"/>
      <c r="I31" s="34"/>
      <c r="J31" s="34"/>
      <c r="K31" s="34"/>
    </row>
    <row r="32" spans="2:11" ht="16" x14ac:dyDescent="0.2">
      <c r="C32" s="35" t="s">
        <v>42</v>
      </c>
    </row>
    <row r="34" spans="2:12" ht="16" x14ac:dyDescent="0.2">
      <c r="D34" s="36" t="s">
        <v>43</v>
      </c>
      <c r="E34" s="40" t="s">
        <v>44</v>
      </c>
    </row>
    <row r="35" spans="2:12" ht="16" x14ac:dyDescent="0.2">
      <c r="D35" s="36" t="s">
        <v>45</v>
      </c>
      <c r="E35" s="40" t="s">
        <v>46</v>
      </c>
    </row>
    <row r="36" spans="2:12" ht="16" x14ac:dyDescent="0.2">
      <c r="D36" s="36" t="s">
        <v>47</v>
      </c>
      <c r="E36" s="40" t="s">
        <v>48</v>
      </c>
    </row>
    <row r="37" spans="2:12" ht="16" x14ac:dyDescent="0.2">
      <c r="D37" s="36"/>
      <c r="E37" s="40"/>
    </row>
    <row r="38" spans="2:12" ht="16" x14ac:dyDescent="0.2">
      <c r="C38" s="34" t="s">
        <v>49</v>
      </c>
      <c r="D38" s="36"/>
      <c r="E38" s="40"/>
    </row>
    <row r="39" spans="2:12" ht="16" x14ac:dyDescent="0.2">
      <c r="D39" s="36"/>
      <c r="E39" s="40"/>
    </row>
    <row r="41" spans="2:12" ht="16" x14ac:dyDescent="0.2">
      <c r="B41" s="34" t="s">
        <v>50</v>
      </c>
      <c r="F41" s="34" t="s">
        <v>51</v>
      </c>
      <c r="K41" s="34" t="s">
        <v>52</v>
      </c>
    </row>
    <row r="42" spans="2:12" ht="16" x14ac:dyDescent="0.2">
      <c r="B42" s="34"/>
    </row>
    <row r="43" spans="2:12" x14ac:dyDescent="0.2">
      <c r="C43" s="41" t="s">
        <v>53</v>
      </c>
      <c r="D43" s="41" t="s">
        <v>41</v>
      </c>
      <c r="G43" s="41" t="s">
        <v>54</v>
      </c>
      <c r="H43" s="41" t="s">
        <v>41</v>
      </c>
      <c r="K43" s="41" t="s">
        <v>55</v>
      </c>
      <c r="L43" s="41" t="s">
        <v>41</v>
      </c>
    </row>
    <row r="44" spans="2:12" x14ac:dyDescent="0.2">
      <c r="C44" s="42">
        <v>0.05</v>
      </c>
      <c r="D44" s="43">
        <f>D29</f>
        <v>10.5</v>
      </c>
      <c r="G44" s="8">
        <v>0.1</v>
      </c>
      <c r="H44" s="43">
        <f>D29</f>
        <v>10.5</v>
      </c>
      <c r="K44" s="43">
        <f>D26</f>
        <v>0.5</v>
      </c>
      <c r="L44" s="43">
        <f>D29</f>
        <v>10.5</v>
      </c>
    </row>
    <row r="45" spans="2:12" x14ac:dyDescent="0.2">
      <c r="C45" s="8">
        <v>0</v>
      </c>
      <c r="D45" s="44">
        <f t="dataTable" ref="D45:D54" dt2D="0" dtr="0" r1="D27" ca="1"/>
        <v>5</v>
      </c>
      <c r="G45" s="8">
        <v>9.7500000000000003E-2</v>
      </c>
      <c r="H45" s="44">
        <f t="dataTable" ref="H45:H54" dt2D="0" dtr="0" r1="D28"/>
        <v>11.052631578947368</v>
      </c>
      <c r="K45" s="43">
        <v>0</v>
      </c>
      <c r="L45" s="44">
        <f t="dataTable" ref="L45:L54" dt2D="0" dtr="0" r1="D26" ca="1"/>
        <v>0</v>
      </c>
    </row>
    <row r="46" spans="2:12" x14ac:dyDescent="0.2">
      <c r="C46" s="8">
        <v>0.01</v>
      </c>
      <c r="D46" s="44">
        <v>5.6111111111111107</v>
      </c>
      <c r="G46" s="8">
        <v>9.5000000000000001E-2</v>
      </c>
      <c r="H46" s="44">
        <v>11.666666666666668</v>
      </c>
      <c r="K46" s="43">
        <v>0.25</v>
      </c>
      <c r="L46" s="44">
        <v>5.25</v>
      </c>
    </row>
    <row r="47" spans="2:12" x14ac:dyDescent="0.2">
      <c r="C47" s="8">
        <v>0.02</v>
      </c>
      <c r="D47" s="44">
        <v>6.375</v>
      </c>
      <c r="G47" s="8">
        <v>9.2499999999999999E-2</v>
      </c>
      <c r="H47" s="44">
        <v>12.352941176470591</v>
      </c>
      <c r="K47" s="43">
        <v>0.5</v>
      </c>
      <c r="L47" s="44">
        <v>10.5</v>
      </c>
    </row>
    <row r="48" spans="2:12" x14ac:dyDescent="0.2">
      <c r="C48" s="8">
        <v>0.03</v>
      </c>
      <c r="D48" s="44">
        <v>7.3571428571428568</v>
      </c>
      <c r="G48" s="8">
        <v>0.09</v>
      </c>
      <c r="H48" s="44">
        <v>13.125000000000002</v>
      </c>
      <c r="K48" s="43">
        <v>0.75</v>
      </c>
      <c r="L48" s="44">
        <v>15.750000000000002</v>
      </c>
    </row>
    <row r="49" spans="2:12" x14ac:dyDescent="0.2">
      <c r="C49" s="8">
        <v>0.04</v>
      </c>
      <c r="D49" s="44">
        <v>8.6666666666666661</v>
      </c>
      <c r="G49" s="8">
        <v>8.7499999999999994E-2</v>
      </c>
      <c r="H49" s="44">
        <v>14.000000000000004</v>
      </c>
      <c r="K49" s="43">
        <v>1</v>
      </c>
      <c r="L49" s="44">
        <v>21</v>
      </c>
    </row>
    <row r="50" spans="2:12" x14ac:dyDescent="0.2">
      <c r="C50" s="8">
        <v>0.05</v>
      </c>
      <c r="D50" s="44">
        <v>10.5</v>
      </c>
      <c r="G50" s="8">
        <v>8.5000000000000006E-2</v>
      </c>
      <c r="H50" s="44">
        <v>15</v>
      </c>
      <c r="K50" s="43">
        <v>1.25</v>
      </c>
      <c r="L50" s="44">
        <v>26.25</v>
      </c>
    </row>
    <row r="51" spans="2:12" x14ac:dyDescent="0.2">
      <c r="C51" s="8">
        <v>0.06</v>
      </c>
      <c r="D51" s="44">
        <v>13.249999999999998</v>
      </c>
      <c r="G51" s="8">
        <v>8.2500000000000004E-2</v>
      </c>
      <c r="H51" s="44">
        <v>16.153846153846153</v>
      </c>
      <c r="K51" s="43">
        <v>1.5</v>
      </c>
      <c r="L51" s="44">
        <v>31.500000000000004</v>
      </c>
    </row>
    <row r="52" spans="2:12" x14ac:dyDescent="0.2">
      <c r="C52" s="8">
        <v>7.0000000000000007E-2</v>
      </c>
      <c r="D52" s="44">
        <v>17.833333333333336</v>
      </c>
      <c r="G52" s="8">
        <v>0.08</v>
      </c>
      <c r="H52" s="44">
        <v>17.5</v>
      </c>
      <c r="K52" s="43">
        <v>1.75</v>
      </c>
      <c r="L52" s="44">
        <v>36.75</v>
      </c>
    </row>
    <row r="53" spans="2:12" x14ac:dyDescent="0.2">
      <c r="C53" s="8">
        <v>0.08</v>
      </c>
      <c r="D53" s="44">
        <v>26.999999999999996</v>
      </c>
      <c r="G53" s="8">
        <v>7.7499999999999999E-2</v>
      </c>
      <c r="H53" s="44">
        <v>19.090909090909093</v>
      </c>
      <c r="K53" s="43">
        <v>2</v>
      </c>
      <c r="L53" s="44">
        <v>42</v>
      </c>
    </row>
    <row r="54" spans="2:12" x14ac:dyDescent="0.2">
      <c r="C54" s="42">
        <v>0.09</v>
      </c>
      <c r="D54" s="44">
        <v>54.499999999999957</v>
      </c>
      <c r="G54" s="8">
        <v>7.4999999999999997E-2</v>
      </c>
      <c r="H54" s="44">
        <v>21.000000000000007</v>
      </c>
      <c r="K54" s="43">
        <v>2.25</v>
      </c>
      <c r="L54" s="44">
        <v>47.25</v>
      </c>
    </row>
    <row r="56" spans="2:12" ht="16" x14ac:dyDescent="0.2">
      <c r="B56" s="33" t="s">
        <v>56</v>
      </c>
    </row>
    <row r="57" spans="2:12" ht="16" x14ac:dyDescent="0.2">
      <c r="C57" s="34" t="s">
        <v>57</v>
      </c>
    </row>
    <row r="59" spans="2:12" ht="16" x14ac:dyDescent="0.2">
      <c r="D59" s="45" t="s">
        <v>43</v>
      </c>
      <c r="E59" s="34" t="s">
        <v>58</v>
      </c>
    </row>
    <row r="60" spans="2:12" ht="16" x14ac:dyDescent="0.2">
      <c r="D60" s="45" t="s">
        <v>45</v>
      </c>
      <c r="E60" s="34" t="s">
        <v>59</v>
      </c>
    </row>
    <row r="61" spans="2:12" ht="16" x14ac:dyDescent="0.2">
      <c r="D61" s="45" t="s">
        <v>47</v>
      </c>
      <c r="E61" s="34" t="s">
        <v>60</v>
      </c>
    </row>
    <row r="63" spans="2:12" ht="16" x14ac:dyDescent="0.2">
      <c r="C63" s="34" t="s">
        <v>61</v>
      </c>
    </row>
    <row r="64" spans="2:12" ht="16" x14ac:dyDescent="0.2">
      <c r="C64" s="34"/>
    </row>
    <row r="66" spans="2:8" x14ac:dyDescent="0.2">
      <c r="F66" s="41" t="s">
        <v>62</v>
      </c>
    </row>
    <row r="67" spans="2:8" x14ac:dyDescent="0.2">
      <c r="C67" s="43">
        <f>D29</f>
        <v>10.5</v>
      </c>
      <c r="D67" s="8">
        <v>0.06</v>
      </c>
      <c r="E67" s="8">
        <v>7.0000000000000007E-2</v>
      </c>
      <c r="F67" s="8">
        <v>0.08</v>
      </c>
      <c r="G67" s="8">
        <v>0.09</v>
      </c>
      <c r="H67" s="8">
        <v>0.1</v>
      </c>
    </row>
    <row r="68" spans="2:8" x14ac:dyDescent="0.2">
      <c r="C68" s="8">
        <v>0</v>
      </c>
      <c r="D68" s="44">
        <f t="dataTable" ref="D68:H73" dt2D="1" dtr="1" r1="D28" r2="D27" ca="1"/>
        <v>8.3333333333333339</v>
      </c>
      <c r="E68" s="44">
        <v>7.1428571428571423</v>
      </c>
      <c r="F68" s="44">
        <v>6.25</v>
      </c>
      <c r="G68" s="44">
        <v>5.5555555555555554</v>
      </c>
      <c r="H68" s="44">
        <v>5</v>
      </c>
    </row>
    <row r="69" spans="2:8" x14ac:dyDescent="0.2">
      <c r="C69" s="8">
        <v>0.01</v>
      </c>
      <c r="D69" s="44">
        <v>10.100000000000001</v>
      </c>
      <c r="E69" s="44">
        <v>8.4166666666666661</v>
      </c>
      <c r="F69" s="44">
        <v>7.2142857142857135</v>
      </c>
      <c r="G69" s="44">
        <v>6.3125</v>
      </c>
      <c r="H69" s="44">
        <v>5.6111111111111107</v>
      </c>
    </row>
    <row r="70" spans="2:8" x14ac:dyDescent="0.2">
      <c r="B70" s="41" t="s">
        <v>63</v>
      </c>
      <c r="C70" s="8">
        <v>0.02</v>
      </c>
      <c r="D70" s="44">
        <v>12.750000000000002</v>
      </c>
      <c r="E70" s="44">
        <v>10.199999999999999</v>
      </c>
      <c r="F70" s="44">
        <v>8.5</v>
      </c>
      <c r="G70" s="44">
        <v>7.2857142857142865</v>
      </c>
      <c r="H70" s="44">
        <v>6.375</v>
      </c>
    </row>
    <row r="71" spans="2:8" x14ac:dyDescent="0.2">
      <c r="B71" s="46" t="s">
        <v>64</v>
      </c>
      <c r="C71" s="8">
        <v>0.03</v>
      </c>
      <c r="D71" s="44">
        <v>17.166666666666668</v>
      </c>
      <c r="E71" s="44">
        <v>12.874999999999998</v>
      </c>
      <c r="F71" s="44">
        <v>10.299999999999999</v>
      </c>
      <c r="G71" s="44">
        <v>8.5833333333333339</v>
      </c>
      <c r="H71" s="44">
        <v>7.3571428571428568</v>
      </c>
    </row>
    <row r="72" spans="2:8" x14ac:dyDescent="0.2">
      <c r="C72" s="8">
        <v>0.04</v>
      </c>
      <c r="D72" s="44">
        <v>26.000000000000004</v>
      </c>
      <c r="E72" s="44">
        <v>17.333333333333332</v>
      </c>
      <c r="F72" s="44">
        <v>13</v>
      </c>
      <c r="G72" s="44">
        <v>10.4</v>
      </c>
      <c r="H72" s="44">
        <v>8.6666666666666661</v>
      </c>
    </row>
    <row r="73" spans="2:8" x14ac:dyDescent="0.2">
      <c r="C73" s="8">
        <v>0.05</v>
      </c>
      <c r="D73" s="44">
        <v>52.500000000000028</v>
      </c>
      <c r="E73" s="44">
        <v>26.249999999999996</v>
      </c>
      <c r="F73" s="44">
        <v>17.5</v>
      </c>
      <c r="G73" s="44">
        <v>13.125000000000002</v>
      </c>
      <c r="H73" s="44">
        <v>10.5</v>
      </c>
    </row>
    <row r="76" spans="2:8" x14ac:dyDescent="0.2">
      <c r="D76" s="47"/>
      <c r="E76" s="47"/>
      <c r="F76" s="46" t="s">
        <v>55</v>
      </c>
      <c r="G76" s="47"/>
      <c r="H76" s="47"/>
    </row>
    <row r="77" spans="2:8" x14ac:dyDescent="0.2">
      <c r="C77" s="43">
        <f>D29</f>
        <v>10.5</v>
      </c>
      <c r="D77" s="43">
        <v>0.25</v>
      </c>
      <c r="E77" s="43">
        <v>0.5</v>
      </c>
      <c r="F77" s="43">
        <v>0.75</v>
      </c>
      <c r="G77" s="43">
        <v>1</v>
      </c>
      <c r="H77" s="43">
        <v>1.25</v>
      </c>
    </row>
    <row r="78" spans="2:8" x14ac:dyDescent="0.2">
      <c r="C78" s="8">
        <v>0</v>
      </c>
      <c r="D78" s="44">
        <f t="dataTable" ref="D78:H83" dt2D="1" dtr="1" r1="D26" r2="D27" ca="1"/>
        <v>2.5</v>
      </c>
      <c r="E78" s="44">
        <v>5</v>
      </c>
      <c r="F78" s="44">
        <v>7.5</v>
      </c>
      <c r="G78" s="44">
        <v>10</v>
      </c>
      <c r="H78" s="44">
        <v>12.5</v>
      </c>
    </row>
    <row r="79" spans="2:8" x14ac:dyDescent="0.2">
      <c r="C79" s="8">
        <v>0.01</v>
      </c>
      <c r="D79" s="44">
        <v>2.8055555555555554</v>
      </c>
      <c r="E79" s="44">
        <v>5.6111111111111107</v>
      </c>
      <c r="F79" s="44">
        <v>8.4166666666666661</v>
      </c>
      <c r="G79" s="44">
        <v>11.222222222222221</v>
      </c>
      <c r="H79" s="44">
        <v>14.027777777777775</v>
      </c>
    </row>
    <row r="80" spans="2:8" x14ac:dyDescent="0.2">
      <c r="B80" s="41" t="s">
        <v>63</v>
      </c>
      <c r="C80" s="8">
        <v>0.02</v>
      </c>
      <c r="D80" s="44">
        <v>3.1875</v>
      </c>
      <c r="E80" s="44">
        <v>6.375</v>
      </c>
      <c r="F80" s="44">
        <v>9.5625</v>
      </c>
      <c r="G80" s="44">
        <v>12.75</v>
      </c>
      <c r="H80" s="44">
        <v>15.937499999999998</v>
      </c>
    </row>
    <row r="81" spans="2:8" x14ac:dyDescent="0.2">
      <c r="B81" s="46" t="s">
        <v>64</v>
      </c>
      <c r="C81" s="8">
        <v>0.03</v>
      </c>
      <c r="D81" s="44">
        <v>3.6785714285714284</v>
      </c>
      <c r="E81" s="44">
        <v>7.3571428571428568</v>
      </c>
      <c r="F81" s="44">
        <v>11.035714285714285</v>
      </c>
      <c r="G81" s="44">
        <v>14.714285714285714</v>
      </c>
      <c r="H81" s="44">
        <v>18.392857142857142</v>
      </c>
    </row>
    <row r="82" spans="2:8" x14ac:dyDescent="0.2">
      <c r="C82" s="8">
        <v>0.04</v>
      </c>
      <c r="D82" s="44">
        <v>4.333333333333333</v>
      </c>
      <c r="E82" s="44">
        <v>8.6666666666666661</v>
      </c>
      <c r="F82" s="44">
        <v>13</v>
      </c>
      <c r="G82" s="44">
        <v>17.333333333333332</v>
      </c>
      <c r="H82" s="44">
        <v>21.666666666666664</v>
      </c>
    </row>
    <row r="83" spans="2:8" x14ac:dyDescent="0.2">
      <c r="C83" s="8">
        <v>0.05</v>
      </c>
      <c r="D83" s="44">
        <v>5.25</v>
      </c>
      <c r="E83" s="44">
        <v>10.5</v>
      </c>
      <c r="F83" s="44">
        <v>15.750000000000002</v>
      </c>
      <c r="G83" s="44">
        <v>21</v>
      </c>
      <c r="H83" s="44">
        <v>26.25</v>
      </c>
    </row>
    <row r="86" spans="2:8" x14ac:dyDescent="0.2">
      <c r="D86" s="47"/>
      <c r="E86" s="47"/>
      <c r="F86" s="46" t="s">
        <v>55</v>
      </c>
      <c r="G86" s="47"/>
      <c r="H86" s="47"/>
    </row>
    <row r="87" spans="2:8" x14ac:dyDescent="0.2">
      <c r="C87" s="43">
        <f>D29</f>
        <v>10.5</v>
      </c>
      <c r="D87" s="43">
        <v>0.25</v>
      </c>
      <c r="E87" s="43">
        <v>0.5</v>
      </c>
      <c r="F87" s="43">
        <v>0.75</v>
      </c>
      <c r="G87" s="43">
        <v>1</v>
      </c>
      <c r="H87" s="43">
        <v>1.25</v>
      </c>
    </row>
    <row r="88" spans="2:8" x14ac:dyDescent="0.2">
      <c r="C88" s="8">
        <v>0.06</v>
      </c>
      <c r="D88" s="44">
        <f t="dataTable" ref="D88:H92" dt2D="1" dtr="1" r1="D26" r2="D28" ca="1"/>
        <v>26.250000000000014</v>
      </c>
      <c r="E88" s="44">
        <v>52.500000000000028</v>
      </c>
      <c r="F88" s="44">
        <v>78.750000000000043</v>
      </c>
      <c r="G88" s="44">
        <v>105.00000000000006</v>
      </c>
      <c r="H88" s="44">
        <v>131.25000000000006</v>
      </c>
    </row>
    <row r="89" spans="2:8" x14ac:dyDescent="0.2">
      <c r="B89" s="46" t="s">
        <v>65</v>
      </c>
      <c r="C89" s="8">
        <v>7.0000000000000007E-2</v>
      </c>
      <c r="D89" s="44">
        <v>13.124999999999998</v>
      </c>
      <c r="E89" s="44">
        <v>26.249999999999996</v>
      </c>
      <c r="F89" s="44">
        <v>39.375</v>
      </c>
      <c r="G89" s="44">
        <v>52.499999999999993</v>
      </c>
      <c r="H89" s="44">
        <v>65.624999999999986</v>
      </c>
    </row>
    <row r="90" spans="2:8" x14ac:dyDescent="0.2">
      <c r="B90" s="46" t="s">
        <v>66</v>
      </c>
      <c r="C90" s="8">
        <v>0.08</v>
      </c>
      <c r="D90" s="44">
        <v>8.75</v>
      </c>
      <c r="E90" s="44">
        <v>17.5</v>
      </c>
      <c r="F90" s="44">
        <v>26.250000000000004</v>
      </c>
      <c r="G90" s="44">
        <v>35</v>
      </c>
      <c r="H90" s="44">
        <v>43.75</v>
      </c>
    </row>
    <row r="91" spans="2:8" x14ac:dyDescent="0.2">
      <c r="C91" s="8">
        <v>0.09</v>
      </c>
      <c r="D91" s="44">
        <v>6.5625000000000009</v>
      </c>
      <c r="E91" s="44">
        <v>13.125000000000002</v>
      </c>
      <c r="F91" s="44">
        <v>19.687500000000004</v>
      </c>
      <c r="G91" s="44">
        <v>26.250000000000004</v>
      </c>
      <c r="H91" s="44">
        <v>32.812500000000007</v>
      </c>
    </row>
    <row r="92" spans="2:8" x14ac:dyDescent="0.2">
      <c r="C92" s="8">
        <v>0.1</v>
      </c>
      <c r="D92" s="44">
        <v>5.25</v>
      </c>
      <c r="E92" s="44">
        <v>10.5</v>
      </c>
      <c r="F92" s="44">
        <v>15.750000000000002</v>
      </c>
      <c r="G92" s="44">
        <v>21</v>
      </c>
      <c r="H92" s="44">
        <v>26.25</v>
      </c>
    </row>
  </sheetData>
  <protectedRanges>
    <protectedRange sqref="D45:D54 H45:H54 L45:L54 D68:H73 D78:H83 D88:H92" name="Range2"/>
    <protectedRange sqref="D29" name="Range1_1"/>
  </protectedRange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AE1E1-F451-4D56-B5BA-52A303B35EA6}">
  <sheetPr codeName="Sheet15"/>
  <dimension ref="BR14:DV52"/>
  <sheetViews>
    <sheetView zoomScale="50" zoomScaleNormal="50" workbookViewId="0"/>
  </sheetViews>
  <sheetFormatPr baseColWidth="10" defaultColWidth="8.83203125" defaultRowHeight="15" x14ac:dyDescent="0.2"/>
  <sheetData>
    <row r="14" spans="70:73" x14ac:dyDescent="0.2">
      <c r="BR14" s="55">
        <v>45134.872233796297</v>
      </c>
    </row>
    <row r="16" spans="70:73" x14ac:dyDescent="0.2">
      <c r="BU16" t="s">
        <v>81</v>
      </c>
    </row>
    <row r="52" spans="126:126" x14ac:dyDescent="0.2">
      <c r="DV52" t="s">
        <v>79</v>
      </c>
    </row>
  </sheetData>
  <sheetProtection algorithmName="SHA-512" hashValue="R0AvVX590wMIxawGGCV0hQIv+twSF5CIRqlw7AM5fNQrC5z819iej2aryFL2hjccknOGHXfqM7ZxR5yB5i8Qnw==" saltValue="eh20NhSP2eGQxCG8+AyjY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Name</vt:lpstr>
      <vt:lpstr>Set 1 - Task 1</vt:lpstr>
      <vt:lpstr>Set 2 - Task 1</vt:lpstr>
      <vt:lpstr>Set 3 - Task 1</vt:lpstr>
      <vt:lpstr>Set 1 - Task 2</vt:lpstr>
      <vt:lpstr>Set 2 - Task 2</vt:lpstr>
      <vt:lpstr>Set 3 - Task 2</vt:lpstr>
      <vt:lpstr>Set 1 - Task 3</vt:lpstr>
      <vt:lpstr>Set 2 - Task 3</vt:lpstr>
      <vt:lpstr>Set 3 - Task 3</vt:lpstr>
      <vt:lpstr>Set 1 - Task 4</vt:lpstr>
      <vt:lpstr>Set 2 - Task 4</vt:lpstr>
      <vt:lpstr>Set 3 - Task 4</vt:lpstr>
      <vt:lpstr>Task 5</vt:lpstr>
      <vt:lpstr>df_1</vt:lpstr>
      <vt:lpstr>df_10</vt:lpstr>
      <vt:lpstr>df_11</vt:lpstr>
      <vt:lpstr>df_12</vt:lpstr>
      <vt:lpstr>df_13</vt:lpstr>
      <vt:lpstr>df_2</vt:lpstr>
      <vt:lpstr>df_3</vt:lpstr>
      <vt:lpstr>df_4</vt:lpstr>
      <vt:lpstr>df_5</vt:lpstr>
      <vt:lpstr>df_6</vt:lpstr>
      <vt:lpstr>df_7</vt:lpstr>
      <vt:lpstr>df_8</vt:lpstr>
      <vt:lpstr>df_9</vt:lpstr>
      <vt:lpstr>Portfolio_Mean1</vt:lpstr>
      <vt:lpstr>Portfolio_Mean2</vt:lpstr>
      <vt:lpstr>Portfolio_Mean3</vt:lpstr>
      <vt:lpstr>Stock_Dates</vt:lpstr>
      <vt:lpstr>Stock1</vt:lpstr>
      <vt:lpstr>Stock1_Data</vt:lpstr>
      <vt:lpstr>Stock1_Proportion</vt:lpstr>
      <vt:lpstr>Stock2</vt:lpstr>
      <vt:lpstr>Stock2_Data</vt:lpstr>
      <vt:lpstr>Stock3</vt:lpstr>
      <vt:lpstr>Stock3_Data</vt:lpstr>
      <vt:lpstr>Stock3_Proportion</vt:lpstr>
      <vt:lpstr>Stock4</vt:lpstr>
      <vt:lpstr>Stock4_Data</vt:lpstr>
      <vt:lpstr>Stock5</vt:lpstr>
      <vt:lpstr>Stock5_Data</vt:lpstr>
      <vt:lpstr>Stock5_Proportion</vt:lpstr>
      <vt:lpstr>Stock6</vt:lpstr>
      <vt:lpstr>Stock6_Data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MikhailB</dc:creator>
  <cp:lastModifiedBy>Grant Fullston</cp:lastModifiedBy>
  <dcterms:created xsi:type="dcterms:W3CDTF">2015-02-10T06:35:47Z</dcterms:created>
  <dcterms:modified xsi:type="dcterms:W3CDTF">2023-07-28T05:31:10Z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201600</vt:lpwstr>
  </property>
</Properties>
</file>